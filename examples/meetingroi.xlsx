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Org" sheetId="4" state="visible" r:id="rId4"/>
    <sheet xmlns:r="http://schemas.openxmlformats.org/officeDocument/2006/relationships" name="Valuation_DCF" sheetId="5" state="visible" r:id="rId5"/>
    <sheet xmlns:r="http://schemas.openxmlformats.org/officeDocument/2006/relationships" name="Valuation_Comps" sheetId="6" state="visible" r:id="rId6"/>
    <sheet xmlns:r="http://schemas.openxmlformats.org/officeDocument/2006/relationships" name="Valuation_EarlyStage" sheetId="7" state="visible" r:id="rId7"/>
    <sheet xmlns:r="http://schemas.openxmlformats.org/officeDocument/2006/relationships" name="Valuation_Patent" sheetId="8" state="visible" r:id="rId8"/>
    <sheet xmlns:r="http://schemas.openxmlformats.org/officeDocument/2006/relationships" name="Equity" sheetId="9" state="visible" r:id="rId9"/>
    <sheet xmlns:r="http://schemas.openxmlformats.org/officeDocument/2006/relationships" name="Screening" sheetId="10" state="visible" r:id="rId10"/>
    <sheet xmlns:r="http://schemas.openxmlformats.org/officeDocument/2006/relationships" name="Definitions" sheetId="11" state="visible" r:id="rId11"/>
  </sheets>
  <definedNames>
    <definedName name="in_tam_usd">Inputs!$B$13</definedName>
    <definedName name="in_sam_usd">Inputs!$B$14</definedName>
    <definedName name="in_som_usd">Inputs!$B$15</definedName>
    <definedName name="in_market_growth_pct">Inputs!$B$16</definedName>
    <definedName name="in_competitors_count">Inputs!$B$17</definedName>
    <definedName name="in_competitor_strength">Inputs!$B$18</definedName>
    <definedName name="in_score_problem_severity">Inputs!$B$20</definedName>
    <definedName name="in_score_problem_frequency">Inputs!$B$21</definedName>
    <definedName name="in_score_willingness_to_pay">Inputs!$B$22</definedName>
    <definedName name="in_score_market_timing">Inputs!$B$23</definedName>
    <definedName name="in_score_moat_tech">Inputs!$B$24</definedName>
    <definedName name="in_score_moat_data">Inputs!$B$25</definedName>
    <definedName name="in_score_moat_brand">Inputs!$B$26</definedName>
    <definedName name="in_score_team_domain">Inputs!$B$27</definedName>
    <definedName name="in_score_team_execution">Inputs!$B$28</definedName>
    <definedName name="in_score_team_completeness">Inputs!$B$29</definedName>
    <definedName name="in_score_gtm_clarity">Inputs!$B$30</definedName>
    <definedName name="in_score_unit_economics">Inputs!$B$31</definedName>
    <definedName name="in_score_capital_efficiency">Inputs!$B$32</definedName>
    <definedName name="in_score_regulatory_risk">Inputs!$B$33</definedName>
    <definedName name="in_score_ai_resilience">Inputs!$B$34</definedName>
    <definedName name="in_score_scalability">Inputs!$B$35</definedName>
    <definedName name="in_score_ip_strength">Inputs!$B$36</definedName>
    <definedName name="in_rev_y1">Inputs!$B$38</definedName>
    <definedName name="in_rev_growth_y2">Inputs!$B$39</definedName>
    <definedName name="in_rev_growth_y3">Inputs!$B$40</definedName>
    <definedName name="in_rev_growth_y4">Inputs!$B$41</definedName>
    <definedName name="in_rev_growth_y5">Inputs!$B$42</definedName>
    <definedName name="in_gross_margin">Inputs!$B$43</definedName>
    <definedName name="in_opex_pct_rev">Inputs!$B$44</definedName>
    <definedName name="in_tax_rate">Inputs!$B$45</definedName>
    <definedName name="in_capex_pct_rev">Inputs!$B$46</definedName>
    <definedName name="in_nwc_pct_rev">Inputs!$B$47</definedName>
    <definedName name="in_discount_rate">Inputs!$B$48</definedName>
    <definedName name="in_terminal_growth">Inputs!$B$49</definedName>
    <definedName name="in_net_debt_usd">Inputs!$B$50</definedName>
    <definedName name="in_comp_rev_multiple">Inputs!$B$52</definedName>
    <definedName name="in_comp_ebitda_multiple">Inputs!$B$53</definedName>
    <definedName name="in_comp_ntm_revenue">Inputs!$B$54</definedName>
    <definedName name="in_comp_ntm_ebitda">Inputs!$B$55</definedName>
    <definedName name="in_berkus_idea">Inputs!$B$57</definedName>
    <definedName name="in_berkus_prototype">Inputs!$B$58</definedName>
    <definedName name="in_berkus_team">Inputs!$B$59</definedName>
    <definedName name="in_berkus_relationships">Inputs!$B$60</definedName>
    <definedName name="in_berkus_sales">Inputs!$B$61</definedName>
    <definedName name="in_scorecard_avg_premoney">Inputs!$B$62</definedName>
    <definedName name="in_vc_exit_value">Inputs!$B$63</definedName>
    <definedName name="in_vc_target_roi">Inputs!$B$64</definedName>
    <definedName name="in_vc_years_to_exit">Inputs!$B$65</definedName>
    <definedName name="in_patent_count">Inputs!$B$67</definedName>
    <definedName name="in_patent_dev_cost_usd">Inputs!$B$68</definedName>
    <definedName name="in_patent_comparable_sale_usd">Inputs!$B$69</definedName>
    <definedName name="in_patent_royalty_rate">Inputs!$B$70</definedName>
    <definedName name="in_patent_revenue_attributable">Inputs!$B$71</definedName>
    <definedName name="in_patent_useful_life_years">Inputs!$B$72</definedName>
    <definedName name="in_target_headcount_y1">Inputs!$B$74</definedName>
    <definedName name="in_target_headcount_y3">Inputs!$B$75</definedName>
    <definedName name="in_avg_fully_loaded_cost">Inputs!$B$76</definedName>
    <definedName name="in_ai_automation_target">Inputs!$B$77</definedName>
    <definedName name="in_esop_pool_pct">Inputs!$B$79</definedName>
    <definedName name="in_founder1_time_pct">Inputs!$B$81</definedName>
    <definedName name="in_founder1_capital_usd">Inputs!$B$82</definedName>
    <definedName name="in_founder1_ip_score">Inputs!$B$83</definedName>
    <definedName name="in_founder1_role_criticality">Inputs!$B$84</definedName>
    <definedName name="in_founder1_salary_forgone_usd">Inputs!$B$85</definedName>
    <definedName name="in_founder2_time_pct">Inputs!$B$87</definedName>
    <definedName name="in_founder2_capital_usd">Inputs!$B$88</definedName>
    <definedName name="in_founder2_ip_score">Inputs!$B$89</definedName>
    <definedName name="in_founder2_role_criticality">Inputs!$B$90</definedName>
    <definedName name="in_founder2_salary_forgone_usd">Inputs!$B$91</definedName>
    <definedName name="in_founder3_time_pct">Inputs!$B$93</definedName>
    <definedName name="in_founder3_capital_usd">Inputs!$B$94</definedName>
    <definedName name="in_founder3_ip_score">Inputs!$B$95</definedName>
    <definedName name="in_founder3_role_criticality">Inputs!$B$96</definedName>
    <definedName name="in_founder3_salary_forgone_usd">Inputs!$B$97</definedName>
    <definedName name="in_founder4_time_pct">Inputs!$B$99</definedName>
    <definedName name="in_founder4_capital_usd">Inputs!$B$100</definedName>
    <definedName name="in_founder4_ip_score">Inputs!$B$101</definedName>
    <definedName name="in_founder4_role_criticality">Inputs!$B$102</definedName>
    <definedName name="in_founder4_salary_forgone_usd">Inputs!$B$103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1F4E78"/>
      <sz val="12"/>
    </font>
    <font>
      <i val="1"/>
      <color rgb="00808080"/>
    </font>
    <font>
      <b val="1"/>
      <color rgb="00FFFFFF"/>
    </font>
    <font>
      <b val="1"/>
    </font>
    <font>
      <i val="1"/>
    </font>
    <font>
      <b val="1"/>
      <color rgb="001F4E78"/>
      <sz val="16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pivotButton="0" quotePrefix="0" xfId="0"/>
    <xf numFmtId="3" fontId="0" fillId="2" borderId="1" pivotButton="0" quotePrefix="0" xfId="0"/>
    <xf numFmtId="164" fontId="0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2" fontId="0" fillId="2" borderId="1" pivotButton="0" quotePrefix="0" xfId="0"/>
    <xf numFmtId="1" fontId="0" fillId="2" borderId="1" pivotButton="0" quotePrefix="0" xfId="0"/>
    <xf numFmtId="165" fontId="0" fillId="2" borderId="1" pivotButton="0" quotePrefix="0" xfId="0"/>
    <xf numFmtId="167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MeetingROI — Summary</t>
        </is>
      </c>
    </row>
    <row r="2">
      <c r="A2" s="2" t="inlineStr">
        <is>
          <t>Calendar-integrated agent that prices every meeting in real $, scores decisions-per-hour, and auto-converts low-value recurrings to async.</t>
        </is>
      </c>
    </row>
    <row r="4">
      <c r="A4" t="inlineStr">
        <is>
          <t>Composite score (1-5)</t>
        </is>
      </c>
      <c r="B4" s="3">
        <f>Scorecard!C16</f>
        <v>3.640463498</v>
      </c>
    </row>
    <row r="5">
      <c r="A5" t="inlineStr">
        <is>
          <t>Score (0-100)</t>
        </is>
      </c>
      <c r="B5" s="4">
        <f>Scorecard!C17</f>
        <v>66.01158745</v>
      </c>
    </row>
    <row r="6">
      <c r="A6" t="inlineStr">
        <is>
          <t>Verdict</t>
        </is>
      </c>
      <c r="B6" t="str">
        <f>Scorecard!C18</f>
        <v>GO</v>
      </c>
    </row>
    <row r="8">
      <c r="A8" t="inlineStr">
        <is>
          <t>DCF Equity Value (USD)</t>
        </is>
      </c>
      <c r="B8" s="5">
        <f>Valuation_DCF!B19</f>
        <v>2445239.896</v>
      </c>
    </row>
    <row r="9">
      <c r="A9" t="inlineStr">
        <is>
          <t>Comparables Midpoint (USD)</t>
        </is>
      </c>
      <c r="B9" s="5">
        <f>Valuation_Comps!B5</f>
        <v>6120000</v>
      </c>
    </row>
    <row r="10">
      <c r="A10" t="inlineStr">
        <is>
          <t>Berkus (USD)</t>
        </is>
      </c>
      <c r="B10" s="5">
        <f>Valuation_EarlyStage!B3</f>
        <v>1550000</v>
      </c>
    </row>
    <row r="11">
      <c r="A11" t="inlineStr">
        <is>
          <t>Scorecard (USD)</t>
        </is>
      </c>
      <c r="B11" s="5">
        <f>Valuation_EarlyStage!B4</f>
        <v>6067439.163</v>
      </c>
    </row>
    <row r="12">
      <c r="A12" t="inlineStr">
        <is>
          <t>VC method (USD)</t>
        </is>
      </c>
      <c r="B12" s="5">
        <f>Valuation_EarlyStage!B5</f>
        <v>16666666.67</v>
      </c>
    </row>
    <row r="13">
      <c r="A13" t="inlineStr">
        <is>
          <t>First Chicago weighted</t>
        </is>
      </c>
      <c r="B13" s="5">
        <f>Valuation_EarlyStage!B9</f>
        <v>4823809.974</v>
      </c>
    </row>
    <row r="14">
      <c r="A14" t="inlineStr">
        <is>
          <t>Patent midpoint (USD)</t>
        </is>
      </c>
      <c r="B14" s="5">
        <f>Valuation_Patent!B7</f>
        <v>0</v>
      </c>
    </row>
    <row r="16">
      <c r="A16" t="inlineStr">
        <is>
          <t>Org cost Y1 (USD)</t>
        </is>
      </c>
      <c r="B16" s="5">
        <f>Org!I23</f>
        <v>948000</v>
      </c>
    </row>
    <row r="17">
      <c r="A17" t="inlineStr">
        <is>
          <t>Org cost Y3 (USD)</t>
        </is>
      </c>
      <c r="B17" s="5">
        <f>Org!J23</f>
        <v>4236000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</cols>
  <sheetData>
    <row r="1">
      <c r="A1" s="6" t="inlineStr">
        <is>
          <t>Idea Evaluator — Inputs</t>
        </is>
      </c>
    </row>
    <row r="2">
      <c r="A2" s="7" t="inlineStr">
        <is>
          <t>Edit yellow cells. Other sheets recompute automatically.</t>
        </is>
      </c>
    </row>
    <row r="4">
      <c r="A4" s="8" t="inlineStr">
        <is>
          <t>IDEA</t>
        </is>
      </c>
    </row>
    <row r="5">
      <c r="A5" s="9" t="inlineStr">
        <is>
          <t>Idea / company name</t>
        </is>
      </c>
      <c r="B5" s="10" t="inlineStr">
        <is>
          <t>MeetingROI</t>
        </is>
      </c>
    </row>
    <row r="6">
      <c r="A6" s="9" t="inlineStr">
        <is>
          <t>One-line description</t>
        </is>
      </c>
      <c r="B6" s="10" t="inlineStr">
        <is>
          <t>Calendar-integrated agent that prices every meeting in real $, scores decisions-per-hour, and auto-converts low-value recurrings to async.</t>
        </is>
      </c>
    </row>
    <row r="7">
      <c r="A7" s="9" t="inlineStr">
        <is>
          <t>Problem being solved (2-4 sentences)</t>
        </is>
      </c>
      <c r="B7" s="10" t="inlineStr">
        <is>
          <t>Mid-market companies waste $250B+/yr in unproductive meetings. r/Entrepreneur thread on this hit 89K upvotes / 12K comments. People-managers can name the problem but lack quantified, per-meeting evidence to push back, and no system enforces hygiene at the calendar layer.</t>
        </is>
      </c>
    </row>
    <row r="8">
      <c r="A8" s="9" t="inlineStr">
        <is>
          <t>Proposed solution</t>
        </is>
      </c>
      <c r="B8" s="10" t="inlineStr">
        <is>
          <t>OAuth into Google/Microsoft calendars + HRIS for salary bands. Compute a real $-cost per invite using attendee bands, score outcome density via meeting-doc + transcript analysis, and surface a weekly leaderboard + auto-suggest 'cancel/shrink/async' actions one-click-applied to the calendar.</t>
        </is>
      </c>
    </row>
    <row r="9">
      <c r="A9" s="9" t="inlineStr">
        <is>
          <t>Primary target customer / ICP</t>
        </is>
      </c>
      <c r="B9" s="10" t="inlineStr">
        <is>
          <t>VP People / Chief of Staff at 500-5000 person tech-forward firms in NA/EU.</t>
        </is>
      </c>
    </row>
    <row r="10">
      <c r="A10" s="9" t="inlineStr">
        <is>
          <t>Initial geography</t>
        </is>
      </c>
      <c r="B10" s="10" t="inlineStr">
        <is>
          <t>United States + EU</t>
        </is>
      </c>
    </row>
    <row r="11">
      <c r="A11" s="9" t="inlineStr">
        <is>
          <t>Stage</t>
        </is>
      </c>
      <c r="B11" s="10" t="inlineStr">
        <is>
          <t>prototype</t>
        </is>
      </c>
    </row>
    <row r="12">
      <c r="A12" s="8" t="inlineStr">
        <is>
          <t>MARKET</t>
        </is>
      </c>
    </row>
    <row r="13">
      <c r="A13" s="9" t="inlineStr">
        <is>
          <t>TAM in USD (total addressable market)</t>
        </is>
      </c>
      <c r="B13" s="11" t="n">
        <v>8000000000</v>
      </c>
    </row>
    <row r="14">
      <c r="A14" s="9" t="inlineStr">
        <is>
          <t>SAM in USD (serviceable addressable)</t>
        </is>
      </c>
      <c r="B14" s="11" t="n">
        <v>1200000000</v>
      </c>
    </row>
    <row r="15">
      <c r="A15" s="9" t="inlineStr">
        <is>
          <t>SOM in USD (serviceable obtainable, yr-5)</t>
        </is>
      </c>
      <c r="B15" s="11" t="n">
        <v>60000000</v>
      </c>
    </row>
    <row r="16">
      <c r="A16" s="9" t="inlineStr">
        <is>
          <t>Market CAGR (e.g. 0.15 for 15%)</t>
        </is>
      </c>
      <c r="B16" s="12" t="n">
        <v>0.22</v>
      </c>
    </row>
    <row r="17">
      <c r="A17" s="9" t="inlineStr">
        <is>
          <t>Number of meaningful competitors</t>
        </is>
      </c>
      <c r="B17" s="10" t="n">
        <v>7</v>
      </c>
    </row>
    <row r="18">
      <c r="A18" s="9" t="inlineStr">
        <is>
          <t>Strongest competitor strength (1=weak,5=dominant)</t>
        </is>
      </c>
      <c r="B18" s="10" t="n">
        <v>3</v>
      </c>
    </row>
    <row r="19">
      <c r="A19" s="8" t="inlineStr">
        <is>
          <t>RUBRIC</t>
        </is>
      </c>
    </row>
    <row r="20">
      <c r="A20" s="9" t="inlineStr">
        <is>
          <t>Problem severity / pain (1-5)</t>
        </is>
      </c>
      <c r="B20" s="10" t="n">
        <v>4</v>
      </c>
      <c r="C20" s="13" t="inlineStr">
        <is>
          <t>How acute is the pain? 5 = hair-on-fire.</t>
        </is>
      </c>
    </row>
    <row r="21">
      <c r="A21" s="9" t="inlineStr">
        <is>
          <t>Problem frequency (1-5)</t>
        </is>
      </c>
      <c r="B21" s="10" t="n">
        <v>5</v>
      </c>
    </row>
    <row r="22">
      <c r="A22" s="9" t="inlineStr">
        <is>
          <t>Customer willingness to pay (1-5)</t>
        </is>
      </c>
      <c r="B22" s="10" t="n">
        <v>3</v>
      </c>
    </row>
    <row r="23">
      <c r="A23" s="9" t="inlineStr">
        <is>
          <t>Market timing / tailwinds (1-5)</t>
        </is>
      </c>
      <c r="B23" s="10" t="n">
        <v>4</v>
      </c>
    </row>
    <row r="24">
      <c r="A24" s="9" t="inlineStr">
        <is>
          <t>Technology moat / defensibility (1-5)</t>
        </is>
      </c>
      <c r="B24" s="10" t="n">
        <v>2</v>
      </c>
    </row>
    <row r="25">
      <c r="A25" s="9" t="inlineStr">
        <is>
          <t>Data moat / network effects (1-5)</t>
        </is>
      </c>
      <c r="B25" s="10" t="n">
        <v>4</v>
      </c>
    </row>
    <row r="26">
      <c r="A26" s="9" t="inlineStr">
        <is>
          <t>Brand / distribution moat (1-5)</t>
        </is>
      </c>
      <c r="B26" s="10" t="n">
        <v>2</v>
      </c>
    </row>
    <row r="27">
      <c r="A27" s="9" t="inlineStr">
        <is>
          <t>Team domain expertise (1-5)</t>
        </is>
      </c>
      <c r="B27" s="10" t="n">
        <v>3</v>
      </c>
    </row>
    <row r="28">
      <c r="A28" s="9" t="inlineStr">
        <is>
          <t>Team execution track record (1-5)</t>
        </is>
      </c>
      <c r="B28" s="10" t="n">
        <v>4</v>
      </c>
    </row>
    <row r="29">
      <c r="A29" s="9" t="inlineStr">
        <is>
          <t>Team completeness (1-5)</t>
        </is>
      </c>
      <c r="B29" s="10" t="n">
        <v>3</v>
      </c>
    </row>
    <row r="30">
      <c r="A30" s="9" t="inlineStr">
        <is>
          <t>GTM clarity &amp; channel fit (1-5)</t>
        </is>
      </c>
      <c r="B30" s="10" t="n">
        <v>4</v>
      </c>
    </row>
    <row r="31">
      <c r="A31" s="9" t="inlineStr">
        <is>
          <t>Unit economics health (1-5)</t>
        </is>
      </c>
      <c r="B31" s="10" t="n">
        <v>4</v>
      </c>
    </row>
    <row r="32">
      <c r="A32" s="9" t="inlineStr">
        <is>
          <t>Capital efficiency (1-5)</t>
        </is>
      </c>
      <c r="B32" s="10" t="n">
        <v>4</v>
      </c>
    </row>
    <row r="33">
      <c r="A33" s="9" t="inlineStr">
        <is>
          <t>Regulatory safety (5=safe,1=heavy risk)</t>
        </is>
      </c>
      <c r="B33" s="10" t="n">
        <v>3</v>
      </c>
    </row>
    <row r="34">
      <c r="A34" s="9" t="inlineStr">
        <is>
          <t>AI-disruption resilience (5=AI helps you,1=AI kills you)</t>
        </is>
      </c>
      <c r="B34" s="10" t="n">
        <v>3</v>
      </c>
      <c r="C34" s="13" t="inlineStr">
        <is>
          <t>Will commodity LLMs eat your wedge in 24 months? Higher = safer/benefiting.</t>
        </is>
      </c>
    </row>
    <row r="35">
      <c r="A35" s="9" t="inlineStr">
        <is>
          <t>Scalability of delivery (1-5)</t>
        </is>
      </c>
      <c r="B35" s="10" t="n">
        <v>5</v>
      </c>
    </row>
    <row r="36">
      <c r="A36" s="9" t="inlineStr">
        <is>
          <t>IP / patent strength (1-5)</t>
        </is>
      </c>
      <c r="B36" s="10" t="n">
        <v>1</v>
      </c>
    </row>
    <row r="37">
      <c r="A37" s="8" t="inlineStr">
        <is>
          <t>FINANCIALS</t>
        </is>
      </c>
    </row>
    <row r="38">
      <c r="A38" s="9" t="inlineStr">
        <is>
          <t>Projected revenue Year 1 (USD)</t>
        </is>
      </c>
      <c r="B38" s="11" t="n">
        <v>240000</v>
      </c>
    </row>
    <row r="39">
      <c r="A39" s="9" t="inlineStr">
        <is>
          <t>Revenue growth Y2</t>
        </is>
      </c>
      <c r="B39" s="12" t="n">
        <v>3</v>
      </c>
    </row>
    <row r="40">
      <c r="A40" s="9" t="inlineStr">
        <is>
          <t>Revenue growth Y3</t>
        </is>
      </c>
      <c r="B40" s="12" t="n">
        <v>2</v>
      </c>
    </row>
    <row r="41">
      <c r="A41" s="9" t="inlineStr">
        <is>
          <t>Revenue growth Y4</t>
        </is>
      </c>
      <c r="B41" s="12" t="n">
        <v>1.2</v>
      </c>
    </row>
    <row r="42">
      <c r="A42" s="9" t="inlineStr">
        <is>
          <t>Revenue growth Y5</t>
        </is>
      </c>
      <c r="B42" s="12" t="n">
        <v>0.7</v>
      </c>
    </row>
    <row r="43">
      <c r="A43" s="9" t="inlineStr">
        <is>
          <t>Gross margin</t>
        </is>
      </c>
      <c r="B43" s="12" t="n">
        <v>0.78</v>
      </c>
    </row>
    <row r="44">
      <c r="A44" s="9" t="inlineStr">
        <is>
          <t>Opex as % of revenue (steady-state)</t>
        </is>
      </c>
      <c r="B44" s="12" t="n">
        <v>0.55</v>
      </c>
    </row>
    <row r="45">
      <c r="A45" s="9" t="inlineStr">
        <is>
          <t>Tax rate</t>
        </is>
      </c>
      <c r="B45" s="12" t="n">
        <v>0.25</v>
      </c>
    </row>
    <row r="46">
      <c r="A46" s="9" t="inlineStr">
        <is>
          <t>CapEx % revenue</t>
        </is>
      </c>
      <c r="B46" s="12" t="n">
        <v>0.02</v>
      </c>
    </row>
    <row r="47">
      <c r="A47" s="9" t="inlineStr">
        <is>
          <t>Net working capital % revenue</t>
        </is>
      </c>
      <c r="B47" s="12" t="n">
        <v>0.04</v>
      </c>
    </row>
    <row r="48">
      <c r="A48" s="9" t="inlineStr">
        <is>
          <t>Discount rate / WACC</t>
        </is>
      </c>
      <c r="B48" s="12" t="n">
        <v>0.3</v>
      </c>
    </row>
    <row r="49">
      <c r="A49" s="9" t="inlineStr">
        <is>
          <t>Terminal growth</t>
        </is>
      </c>
      <c r="B49" s="12" t="n">
        <v>0.03</v>
      </c>
    </row>
    <row r="50">
      <c r="A50" s="9" t="inlineStr">
        <is>
          <t>Net debt (USD)</t>
        </is>
      </c>
      <c r="B50" s="11" t="n">
        <v>0</v>
      </c>
    </row>
    <row r="51">
      <c r="A51" s="8" t="inlineStr">
        <is>
          <t>COMPARABLES</t>
        </is>
      </c>
    </row>
    <row r="52">
      <c r="A52" s="9" t="inlineStr">
        <is>
          <t>Sector revenue multiple (NTM)</t>
        </is>
      </c>
      <c r="B52" s="11" t="n">
        <v>8</v>
      </c>
    </row>
    <row r="53">
      <c r="A53" s="9" t="inlineStr">
        <is>
          <t>Sector EBITDA multiple</t>
        </is>
      </c>
      <c r="B53" s="11" t="n">
        <v>22</v>
      </c>
    </row>
    <row r="54">
      <c r="A54" s="9" t="inlineStr">
        <is>
          <t>NTM revenue for multiple (USD)</t>
        </is>
      </c>
      <c r="B54" s="11" t="n">
        <v>1200000</v>
      </c>
    </row>
    <row r="55">
      <c r="A55" s="9" t="inlineStr">
        <is>
          <t>NTM EBITDA for multiple (USD)</t>
        </is>
      </c>
      <c r="B55" s="11" t="n">
        <v>120000</v>
      </c>
    </row>
    <row r="56">
      <c r="A56" s="8" t="inlineStr">
        <is>
          <t>EARLY</t>
        </is>
      </c>
    </row>
    <row r="57">
      <c r="A57" s="9" t="inlineStr">
        <is>
          <t>Berkus: sound idea value (USD, max ~500k)</t>
        </is>
      </c>
      <c r="B57" s="11" t="n">
        <v>400000</v>
      </c>
    </row>
    <row r="58">
      <c r="A58" s="9" t="inlineStr">
        <is>
          <t>Berkus: prototype value (USD, max ~500k)</t>
        </is>
      </c>
      <c r="B58" s="11" t="n">
        <v>400000</v>
      </c>
    </row>
    <row r="59">
      <c r="A59" s="9" t="inlineStr">
        <is>
          <t>Berkus: quality team value</t>
        </is>
      </c>
      <c r="B59" s="11" t="n">
        <v>350000</v>
      </c>
    </row>
    <row r="60">
      <c r="A60" s="9" t="inlineStr">
        <is>
          <t>Berkus: strategic relationships</t>
        </is>
      </c>
      <c r="B60" s="11" t="n">
        <v>200000</v>
      </c>
    </row>
    <row r="61">
      <c r="A61" s="9" t="inlineStr">
        <is>
          <t>Berkus: product rollout / sales</t>
        </is>
      </c>
      <c r="B61" s="11" t="n">
        <v>200000</v>
      </c>
    </row>
    <row r="62">
      <c r="A62" s="9" t="inlineStr">
        <is>
          <t>Scorecard: regional avg pre-money (USD)</t>
        </is>
      </c>
      <c r="B62" s="11" t="n">
        <v>5000000</v>
      </c>
    </row>
    <row r="63">
      <c r="A63" s="9" t="inlineStr">
        <is>
          <t>VC method: expected exit value (USD)</t>
        </is>
      </c>
      <c r="B63" s="11" t="n">
        <v>250000000</v>
      </c>
    </row>
    <row r="64">
      <c r="A64" s="9" t="inlineStr">
        <is>
          <t>VC method: target ROI multiple</t>
        </is>
      </c>
      <c r="B64" s="11" t="n">
        <v>15</v>
      </c>
    </row>
    <row r="65">
      <c r="A65" s="9" t="inlineStr">
        <is>
          <t>VC method: years to exit</t>
        </is>
      </c>
      <c r="B65" s="11" t="n">
        <v>7</v>
      </c>
    </row>
    <row r="66">
      <c r="A66" s="8" t="inlineStr">
        <is>
          <t>PATENT</t>
        </is>
      </c>
    </row>
    <row r="67">
      <c r="A67" s="9" t="inlineStr">
        <is>
          <t>Number of patents / filings</t>
        </is>
      </c>
      <c r="B67" s="10" t="n">
        <v>0</v>
      </c>
    </row>
    <row r="68">
      <c r="A68" s="9" t="inlineStr">
        <is>
          <t>Cost approach: total R&amp;D + filing cost</t>
        </is>
      </c>
      <c r="B68" s="11" t="n">
        <v>0</v>
      </c>
    </row>
    <row r="69">
      <c r="A69" s="9" t="inlineStr">
        <is>
          <t>Market approach: comparable patent sale</t>
        </is>
      </c>
      <c r="B69" s="11" t="n">
        <v>0</v>
      </c>
    </row>
    <row r="70">
      <c r="A70" s="9" t="inlineStr">
        <is>
          <t>Relief-from-royalty: royalty rate</t>
        </is>
      </c>
      <c r="B70" s="12" t="n">
        <v>0.03</v>
      </c>
    </row>
    <row r="71">
      <c r="A71" s="9" t="inlineStr">
        <is>
          <t>Revenue attributable to patent (USD/yr)</t>
        </is>
      </c>
      <c r="B71" s="11" t="n">
        <v>0</v>
      </c>
    </row>
    <row r="72">
      <c r="A72" s="9" t="inlineStr">
        <is>
          <t>Useful life (yrs)</t>
        </is>
      </c>
      <c r="B72" s="10" t="n">
        <v>7</v>
      </c>
    </row>
    <row r="73">
      <c r="A73" s="8" t="inlineStr">
        <is>
          <t>ORG</t>
        </is>
      </c>
    </row>
    <row r="74">
      <c r="A74" s="9" t="inlineStr">
        <is>
          <t>Target headcount end of Y1</t>
        </is>
      </c>
      <c r="B74" s="10" t="n">
        <v>8</v>
      </c>
    </row>
    <row r="75">
      <c r="A75" s="9" t="inlineStr">
        <is>
          <t>Target headcount end of Y3</t>
        </is>
      </c>
      <c r="B75" s="10" t="n">
        <v>35</v>
      </c>
    </row>
    <row r="76">
      <c r="A76" s="9" t="inlineStr">
        <is>
          <t>Avg fully-loaded cost / FTE (USD)</t>
        </is>
      </c>
      <c r="B76" s="11" t="n">
        <v>120000</v>
      </c>
    </row>
    <row r="77">
      <c r="A77" s="9" t="inlineStr">
        <is>
          <t>Target % of routine work automated by AI</t>
        </is>
      </c>
      <c r="B77" s="12" t="n">
        <v>0.65</v>
      </c>
    </row>
    <row r="78">
      <c r="A78" s="8" t="inlineStr">
        <is>
          <t>EQUITY</t>
        </is>
      </c>
    </row>
    <row r="79">
      <c r="A79" s="9" t="inlineStr">
        <is>
          <t>ESOP / option pool size</t>
        </is>
      </c>
      <c r="B79" s="12" t="n">
        <v>0.15</v>
      </c>
    </row>
    <row r="80">
      <c r="A80" s="9" t="inlineStr">
        <is>
          <t>Founder 1 name</t>
        </is>
      </c>
      <c r="B80" s="10" t="inlineStr">
        <is>
          <t>Founder A</t>
        </is>
      </c>
    </row>
    <row r="81">
      <c r="A81" s="9" t="inlineStr">
        <is>
          <t>Founder 1 time commitment (0-1)</t>
        </is>
      </c>
      <c r="B81" s="12" t="n">
        <v>1</v>
      </c>
    </row>
    <row r="82">
      <c r="A82" s="9" t="inlineStr">
        <is>
          <t>Founder 1 cash contributed (USD)</t>
        </is>
      </c>
      <c r="B82" s="11" t="n">
        <v>0</v>
      </c>
    </row>
    <row r="83">
      <c r="A83" s="9" t="inlineStr">
        <is>
          <t>Founder 1 IP / prior work (1-5, 0 if N/A)</t>
        </is>
      </c>
      <c r="B83" s="10" t="n">
        <v>3</v>
      </c>
    </row>
    <row r="84">
      <c r="A84" s="9" t="inlineStr">
        <is>
          <t>Founder 1 role criticality (1-5, 0 if N/A)</t>
        </is>
      </c>
      <c r="B84" s="10" t="n">
        <v>4</v>
      </c>
    </row>
    <row r="85">
      <c r="A85" s="9" t="inlineStr">
        <is>
          <t>Founder 1 annual salary forgone (USD)</t>
        </is>
      </c>
      <c r="B85" s="11" t="n">
        <v>100000</v>
      </c>
    </row>
    <row r="86">
      <c r="A86" s="9" t="inlineStr">
        <is>
          <t>Founder 2 name</t>
        </is>
      </c>
      <c r="B86" s="10" t="inlineStr">
        <is>
          <t>Founder B</t>
        </is>
      </c>
    </row>
    <row r="87">
      <c r="A87" s="9" t="inlineStr">
        <is>
          <t>Founder 2 time commitment (0-1)</t>
        </is>
      </c>
      <c r="B87" s="12" t="n">
        <v>1</v>
      </c>
    </row>
    <row r="88">
      <c r="A88" s="9" t="inlineStr">
        <is>
          <t>Founder 2 cash contributed (USD)</t>
        </is>
      </c>
      <c r="B88" s="11" t="n">
        <v>0</v>
      </c>
    </row>
    <row r="89">
      <c r="A89" s="9" t="inlineStr">
        <is>
          <t>Founder 2 IP / prior work (1-5, 0 if N/A)</t>
        </is>
      </c>
      <c r="B89" s="10" t="n">
        <v>3</v>
      </c>
    </row>
    <row r="90">
      <c r="A90" s="9" t="inlineStr">
        <is>
          <t>Founder 2 role criticality (1-5, 0 if N/A)</t>
        </is>
      </c>
      <c r="B90" s="10" t="n">
        <v>4</v>
      </c>
    </row>
    <row r="91">
      <c r="A91" s="9" t="inlineStr">
        <is>
          <t>Founder 2 annual salary forgone (USD)</t>
        </is>
      </c>
      <c r="B91" s="11" t="n">
        <v>100000</v>
      </c>
    </row>
    <row r="92">
      <c r="A92" s="9" t="inlineStr">
        <is>
          <t>Founder 3 name</t>
        </is>
      </c>
      <c r="B92" s="10" t="inlineStr">
        <is>
          <t>Founder C</t>
        </is>
      </c>
    </row>
    <row r="93">
      <c r="A93" s="9" t="inlineStr">
        <is>
          <t>Founder 3 time commitment (0-1)</t>
        </is>
      </c>
      <c r="B93" s="12" t="n">
        <v>0</v>
      </c>
    </row>
    <row r="94">
      <c r="A94" s="9" t="inlineStr">
        <is>
          <t>Founder 3 cash contributed (USD)</t>
        </is>
      </c>
      <c r="B94" s="11" t="n">
        <v>0</v>
      </c>
    </row>
    <row r="95">
      <c r="A95" s="9" t="inlineStr">
        <is>
          <t>Founder 3 IP / prior work (1-5, 0 if N/A)</t>
        </is>
      </c>
      <c r="B95" s="10" t="n">
        <v>0</v>
      </c>
    </row>
    <row r="96">
      <c r="A96" s="9" t="inlineStr">
        <is>
          <t>Founder 3 role criticality (1-5, 0 if N/A)</t>
        </is>
      </c>
      <c r="B96" s="10" t="n">
        <v>0</v>
      </c>
    </row>
    <row r="97">
      <c r="A97" s="9" t="inlineStr">
        <is>
          <t>Founder 3 annual salary forgone (USD)</t>
        </is>
      </c>
      <c r="B97" s="11" t="n">
        <v>0</v>
      </c>
    </row>
    <row r="98">
      <c r="A98" s="9" t="inlineStr">
        <is>
          <t>Founder 4 name</t>
        </is>
      </c>
      <c r="B98" s="10" t="inlineStr">
        <is>
          <t>Founder D</t>
        </is>
      </c>
    </row>
    <row r="99">
      <c r="A99" s="9" t="inlineStr">
        <is>
          <t>Founder 4 time commitment (0-1)</t>
        </is>
      </c>
      <c r="B99" s="12" t="n">
        <v>0</v>
      </c>
    </row>
    <row r="100">
      <c r="A100" s="9" t="inlineStr">
        <is>
          <t>Founder 4 cash contributed (USD)</t>
        </is>
      </c>
      <c r="B100" s="11" t="n">
        <v>0</v>
      </c>
    </row>
    <row r="101">
      <c r="A101" s="9" t="inlineStr">
        <is>
          <t>Founder 4 IP / prior work (1-5, 0 if N/A)</t>
        </is>
      </c>
      <c r="B101" s="10" t="n">
        <v>0</v>
      </c>
    </row>
    <row r="102">
      <c r="A102" s="9" t="inlineStr">
        <is>
          <t>Founder 4 role criticality (1-5, 0 if N/A)</t>
        </is>
      </c>
      <c r="B102" s="10" t="n">
        <v>0</v>
      </c>
    </row>
    <row r="103">
      <c r="A103" s="9" t="inlineStr">
        <is>
          <t>Founder 4 annual salary forgone (USD)</t>
        </is>
      </c>
      <c r="B10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40" customWidth="1" min="4" max="4"/>
  </cols>
  <sheetData>
    <row r="1">
      <c r="A1" s="6" t="inlineStr">
        <is>
          <t>Evaluation Scorecard</t>
        </is>
      </c>
    </row>
    <row r="3">
      <c r="A3" s="14" t="inlineStr">
        <is>
          <t>Category</t>
        </is>
      </c>
      <c r="B3" s="14" t="inlineStr">
        <is>
          <t>Weight</t>
        </is>
      </c>
      <c r="C3" s="14" t="inlineStr">
        <is>
          <t>Avg Score (1-5)</t>
        </is>
      </c>
      <c r="D3" s="14" t="inlineStr">
        <is>
          <t>Sub-scores</t>
        </is>
      </c>
    </row>
    <row r="4">
      <c r="A4" t="inlineStr">
        <is>
          <t>Problem</t>
        </is>
      </c>
      <c r="B4" s="15" t="n">
        <v>0.12</v>
      </c>
      <c r="C4" s="3">
        <f>AVERAGE(in_score_problem_severity,in_score_problem_frequency,in_score_willingness_to_pay)</f>
        <v>4</v>
      </c>
      <c r="D4" s="16" t="inlineStr">
        <is>
          <t>problem_severity, problem_frequency, willingness_to_pay</t>
        </is>
      </c>
    </row>
    <row r="5">
      <c r="A5" t="inlineStr">
        <is>
          <t>Market &amp; Timing</t>
        </is>
      </c>
      <c r="B5" s="15" t="n">
        <v>0.12</v>
      </c>
      <c r="C5" s="3">
        <f>AVERAGE(in_score_market_timing)</f>
        <v>4</v>
      </c>
      <c r="D5" s="16" t="inlineStr">
        <is>
          <t>market_timing</t>
        </is>
      </c>
    </row>
    <row r="6">
      <c r="A6" t="inlineStr">
        <is>
          <t>Moat</t>
        </is>
      </c>
      <c r="B6" s="15" t="n">
        <v>0.14</v>
      </c>
      <c r="C6" s="3">
        <f>AVERAGE(in_score_moat_tech,in_score_moat_data,in_score_moat_brand,in_score_ip_strength)</f>
        <v>2.25</v>
      </c>
      <c r="D6" s="16" t="inlineStr">
        <is>
          <t>moat_tech, moat_data, moat_brand, ip_strength</t>
        </is>
      </c>
    </row>
    <row r="7">
      <c r="A7" t="inlineStr">
        <is>
          <t>Team</t>
        </is>
      </c>
      <c r="B7" s="15" t="n">
        <v>0.15</v>
      </c>
      <c r="C7" s="3">
        <f>AVERAGE(in_score_team_domain,in_score_team_execution,in_score_team_completeness)</f>
        <v>3.333333333</v>
      </c>
      <c r="D7" s="16" t="inlineStr">
        <is>
          <t>team_domain, team_execution, team_completeness</t>
        </is>
      </c>
    </row>
    <row r="8">
      <c r="A8" t="inlineStr">
        <is>
          <t>GTM</t>
        </is>
      </c>
      <c r="B8" s="15" t="n">
        <v>0.08</v>
      </c>
      <c r="C8" s="3">
        <f>AVERAGE(in_score_gtm_clarity)</f>
        <v>4</v>
      </c>
      <c r="D8" s="16" t="inlineStr">
        <is>
          <t>gtm_clarity</t>
        </is>
      </c>
    </row>
    <row r="9">
      <c r="A9" t="inlineStr">
        <is>
          <t>Unit Economics</t>
        </is>
      </c>
      <c r="B9" s="15" t="n">
        <v>0.1</v>
      </c>
      <c r="C9" s="3">
        <f>AVERAGE(in_score_unit_economics,in_score_capital_efficiency)</f>
        <v>4</v>
      </c>
      <c r="D9" s="16" t="inlineStr">
        <is>
          <t>unit_economics, capital_efficiency</t>
        </is>
      </c>
    </row>
    <row r="10">
      <c r="A10" t="inlineStr">
        <is>
          <t>Scalability</t>
        </is>
      </c>
      <c r="B10" s="15" t="n">
        <v>0.07000000000000001</v>
      </c>
      <c r="C10" s="3">
        <f>AVERAGE(in_score_scalability)</f>
        <v>5</v>
      </c>
      <c r="D10" s="16" t="inlineStr">
        <is>
          <t>scalability</t>
        </is>
      </c>
    </row>
    <row r="11">
      <c r="A11" t="inlineStr">
        <is>
          <t>Regulatory</t>
        </is>
      </c>
      <c r="B11" s="15" t="n">
        <v>0.05</v>
      </c>
      <c r="C11" s="3">
        <f>AVERAGE(in_score_regulatory_risk)</f>
        <v>3</v>
      </c>
      <c r="D11" s="16" t="inlineStr">
        <is>
          <t>regulatory_risk</t>
        </is>
      </c>
    </row>
    <row r="12">
      <c r="A12" t="inlineStr">
        <is>
          <t>AI Resilience</t>
        </is>
      </c>
      <c r="B12" s="15" t="n">
        <v>0.17</v>
      </c>
      <c r="C12" s="3">
        <f>AVERAGE(in_score_ai_resilience)</f>
        <v>3</v>
      </c>
      <c r="D12" s="16" t="inlineStr">
        <is>
          <t>ai_resilience</t>
        </is>
      </c>
    </row>
    <row r="14">
      <c r="A14" s="17" t="inlineStr">
        <is>
          <t>Weighted avg (1-5)</t>
        </is>
      </c>
      <c r="C14" s="3">
        <f>SUMPRODUCT(B4:B12,C4:C12)</f>
        <v>3.505</v>
      </c>
    </row>
    <row r="15">
      <c r="A15" s="2" t="inlineStr">
        <is>
          <t>Market-size bonus (TAM)</t>
        </is>
      </c>
      <c r="C15" s="3">
        <f>MAX(-1,MIN(1,LOG10(MAX(1,in_tam_usd)/1000000000)))*0.15</f>
        <v>0.135463498</v>
      </c>
    </row>
    <row r="16">
      <c r="A16" s="17" t="inlineStr">
        <is>
          <t>Composite (1-5)</t>
        </is>
      </c>
      <c r="C16" s="3">
        <f>MAX(1,MIN(5,C14+C15))</f>
        <v>3.640463498</v>
      </c>
    </row>
    <row r="17">
      <c r="A17" s="17" t="inlineStr">
        <is>
          <t>Score (0-100)</t>
        </is>
      </c>
      <c r="C17" s="4">
        <f>(C16-1)/4*100</f>
        <v>66.01158745</v>
      </c>
    </row>
    <row r="18">
      <c r="A18" s="17" t="inlineStr">
        <is>
          <t>Verdict</t>
        </is>
      </c>
      <c r="C18" t="str">
        <f>IF(C17&gt;=75,"STRONG GO",IF(C17&gt;=60,"GO",IF(C17&gt;=45,"CONDITIONAL",IF(C17&gt;=30,"WEAK","NO-GO"))))</f>
        <v>GO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7" customWidth="1" min="3" max="3"/>
    <col width="9" customWidth="1" min="4" max="4"/>
    <col width="9" customWidth="1" min="5" max="5"/>
    <col width="13" customWidth="1" min="6" max="6"/>
    <col width="18" customWidth="1" min="7" max="7"/>
    <col width="60" customWidth="1" min="8" max="8"/>
    <col width="14" customWidth="1" min="9" max="9"/>
    <col width="14" customWidth="1" min="10" max="10"/>
  </cols>
  <sheetData>
    <row r="1">
      <c r="A1" s="6" t="inlineStr">
        <is>
          <t>AI-Proof Org Structure</t>
        </is>
      </c>
    </row>
    <row r="3">
      <c r="A3" s="14" t="inlineStr">
        <is>
          <t>Function</t>
        </is>
      </c>
      <c r="B3" s="14" t="inlineStr">
        <is>
          <t>Role</t>
        </is>
      </c>
      <c r="C3" s="14" t="inlineStr">
        <is>
          <t>Level</t>
        </is>
      </c>
      <c r="D3" s="14" t="inlineStr">
        <is>
          <t>HC Y1</t>
        </is>
      </c>
      <c r="E3" s="14" t="inlineStr">
        <is>
          <t>HC Y3</t>
        </is>
      </c>
      <c r="F3" s="14" t="inlineStr">
        <is>
          <t>Automation %</t>
        </is>
      </c>
      <c r="G3" s="14" t="inlineStr">
        <is>
          <t>Reports to</t>
        </is>
      </c>
      <c r="H3" s="14" t="inlineStr">
        <is>
          <t>AI augmentation</t>
        </is>
      </c>
      <c r="I3" s="14" t="inlineStr">
        <is>
          <t>Cost Y1 (USD)</t>
        </is>
      </c>
      <c r="J3" s="14" t="inlineStr">
        <is>
          <t>Cost Y3 (USD)</t>
        </is>
      </c>
    </row>
    <row r="4">
      <c r="A4" t="inlineStr">
        <is>
          <t>Leadership</t>
        </is>
      </c>
      <c r="B4" t="inlineStr">
        <is>
          <t>CEO / Founder</t>
        </is>
      </c>
      <c r="C4" t="inlineStr">
        <is>
          <t>C</t>
        </is>
      </c>
      <c r="D4">
        <f>ROUND(1.0/13.2*in_target_headcount_y1,1)</f>
        <v>0.6</v>
      </c>
      <c r="E4">
        <f>ROUND(1.0/30.0*in_target_headcount_y3,1)</f>
        <v>1.2</v>
      </c>
      <c r="F4" s="18">
        <f>ROUND(0.2*0.7+in_ai_automation_target*0.3,2)</f>
        <v>0.34</v>
      </c>
      <c r="G4" t="inlineStr">
        <is>
          <t>Board</t>
        </is>
      </c>
      <c r="H4" s="16" t="inlineStr">
        <is>
          <t>Strategy synthesis, investor narrative drafting, competitive intel via AI research agents.</t>
        </is>
      </c>
      <c r="I4" s="5">
        <f>D4*in_avg_fully_loaded_cost</f>
        <v>72000</v>
      </c>
      <c r="J4" s="5">
        <f>E4*in_avg_fully_loaded_cost</f>
        <v>144000</v>
      </c>
    </row>
    <row r="5">
      <c r="A5" t="inlineStr">
        <is>
          <t>Leadership</t>
        </is>
      </c>
      <c r="B5" t="inlineStr">
        <is>
          <t>CTO / Chief AI Architect</t>
        </is>
      </c>
      <c r="C5" t="inlineStr">
        <is>
          <t>C</t>
        </is>
      </c>
      <c r="D5">
        <f>ROUND(1.0/13.2*in_target_headcount_y1,1)</f>
        <v>0.6</v>
      </c>
      <c r="E5">
        <f>ROUND(1.0/30.0*in_target_headcount_y3,1)</f>
        <v>1.2</v>
      </c>
      <c r="F5" s="18">
        <f>ROUND(0.3*0.7+in_ai_automation_target*0.3,2)</f>
        <v>0.41</v>
      </c>
      <c r="G5" t="inlineStr">
        <is>
          <t>CEO</t>
        </is>
      </c>
      <c r="H5" s="16" t="inlineStr">
        <is>
          <t>Architecture review with AI pair, code review automation, AI-assisted hiring loops.</t>
        </is>
      </c>
      <c r="I5" s="5">
        <f>D5*in_avg_fully_loaded_cost</f>
        <v>72000</v>
      </c>
      <c r="J5" s="5">
        <f>E5*in_avg_fully_loaded_cost</f>
        <v>144000</v>
      </c>
    </row>
    <row r="6">
      <c r="A6" t="inlineStr">
        <is>
          <t>Leadership</t>
        </is>
      </c>
      <c r="B6" t="inlineStr">
        <is>
          <t>Head of Autonomous Operations</t>
        </is>
      </c>
      <c r="C6" t="inlineStr">
        <is>
          <t>C</t>
        </is>
      </c>
      <c r="D6">
        <f>ROUND(0.0/13.2*in_target_headcount_y1,1)</f>
        <v>0</v>
      </c>
      <c r="E6">
        <f>ROUND(1.0/30.0*in_target_headcount_y3,1)</f>
        <v>1.2</v>
      </c>
      <c r="F6" s="18">
        <f>ROUND(0.4*0.7+in_ai_automation_target*0.3,2)</f>
        <v>0.48</v>
      </c>
      <c r="G6" t="inlineStr">
        <is>
          <t>CEO</t>
        </is>
      </c>
      <c r="H6" s="16" t="inlineStr">
        <is>
          <t>AI-run dashboards, automated reporting, exception-only escalation; designs the human-in-the-loop seams.</t>
        </is>
      </c>
      <c r="I6" s="5">
        <f>D6*in_avg_fully_loaded_cost</f>
        <v>0</v>
      </c>
      <c r="J6" s="5">
        <f>E6*in_avg_fully_loaded_cost</f>
        <v>144000</v>
      </c>
    </row>
    <row r="7">
      <c r="A7" t="inlineStr">
        <is>
          <t>Product</t>
        </is>
      </c>
      <c r="B7" t="inlineStr">
        <is>
          <t>Head of Product (AI-Native)</t>
        </is>
      </c>
      <c r="C7" t="inlineStr">
        <is>
          <t>L</t>
        </is>
      </c>
      <c r="D7">
        <f>ROUND(0.5/13.2*in_target_headcount_y1,1)</f>
        <v>0.3</v>
      </c>
      <c r="E7">
        <f>ROUND(1.0/30.0*in_target_headcount_y3,1)</f>
        <v>1.2</v>
      </c>
      <c r="F7" s="18">
        <f>ROUND(0.3*0.7+in_ai_automation_target*0.3,2)</f>
        <v>0.41</v>
      </c>
      <c r="G7" t="inlineStr">
        <is>
          <t>CEO</t>
        </is>
      </c>
      <c r="H7" s="16" t="inlineStr">
        <is>
          <t>AI user-research synthesis, PRD drafting copilots, AB-test analysis automation.</t>
        </is>
      </c>
      <c r="I7" s="5">
        <f>D7*in_avg_fully_loaded_cost</f>
        <v>36000</v>
      </c>
      <c r="J7" s="5">
        <f>E7*in_avg_fully_loaded_cost</f>
        <v>144000</v>
      </c>
    </row>
    <row r="8">
      <c r="A8" t="inlineStr">
        <is>
          <t>Product</t>
        </is>
      </c>
      <c r="B8" t="inlineStr">
        <is>
          <t>Product Engineer</t>
        </is>
      </c>
      <c r="C8" t="inlineStr">
        <is>
          <t>S</t>
        </is>
      </c>
      <c r="D8">
        <f>ROUND(1.0/13.2*in_target_headcount_y1,1)</f>
        <v>0.6</v>
      </c>
      <c r="E8">
        <f>ROUND(2.0/30.0*in_target_headcount_y3,1)</f>
        <v>2.3</v>
      </c>
      <c r="F8" s="18">
        <f>ROUND(0.4*0.7+in_ai_automation_target*0.3,2)</f>
        <v>0.48</v>
      </c>
      <c r="G8" t="inlineStr">
        <is>
          <t>Head of Product</t>
        </is>
      </c>
      <c r="H8" s="16" t="inlineStr">
        <is>
          <t>Ships, not just specs: AI-assisted prototypes, transcript coding, competitive scans.</t>
        </is>
      </c>
      <c r="I8" s="5">
        <f>D8*in_avg_fully_loaded_cost</f>
        <v>72000</v>
      </c>
      <c r="J8" s="5">
        <f>E8*in_avg_fully_loaded_cost</f>
        <v>276000</v>
      </c>
    </row>
    <row r="9">
      <c r="A9" t="inlineStr">
        <is>
          <t>Product</t>
        </is>
      </c>
      <c r="B9" t="inlineStr">
        <is>
          <t>Product Designer (AI-Augmented)</t>
        </is>
      </c>
      <c r="C9" t="inlineStr">
        <is>
          <t>S</t>
        </is>
      </c>
      <c r="D9">
        <f>ROUND(1.0/13.2*in_target_headcount_y1,1)</f>
        <v>0.6</v>
      </c>
      <c r="E9">
        <f>ROUND(2.0/30.0*in_target_headcount_y3,1)</f>
        <v>2.3</v>
      </c>
      <c r="F9" s="18">
        <f>ROUND(0.5*0.7+in_ai_automation_target*0.3,2)</f>
        <v>0.54</v>
      </c>
      <c r="G9" t="inlineStr">
        <is>
          <t>Head of Product</t>
        </is>
      </c>
      <c r="H9" s="16" t="inlineStr">
        <is>
          <t>Generative design exploration, copy variants, accessibility audits via AI.</t>
        </is>
      </c>
      <c r="I9" s="5">
        <f>D9*in_avg_fully_loaded_cost</f>
        <v>72000</v>
      </c>
      <c r="J9" s="5">
        <f>E9*in_avg_fully_loaded_cost</f>
        <v>276000</v>
      </c>
    </row>
    <row r="10">
      <c r="A10" t="inlineStr">
        <is>
          <t>Engineering</t>
        </is>
      </c>
      <c r="B10" t="inlineStr">
        <is>
          <t>Systems Architect</t>
        </is>
      </c>
      <c r="C10" t="inlineStr">
        <is>
          <t>L</t>
        </is>
      </c>
      <c r="D10">
        <f>ROUND(1.0/13.2*in_target_headcount_y1,1)</f>
        <v>0.6</v>
      </c>
      <c r="E10">
        <f>ROUND(1.5/30.0*in_target_headcount_y3,1)</f>
        <v>1.8</v>
      </c>
      <c r="F10" s="18">
        <f>ROUND(0.25*0.7+in_ai_automation_target*0.3,2)</f>
        <v>0.37</v>
      </c>
      <c r="G10" t="inlineStr">
        <is>
          <t>CTO</t>
        </is>
      </c>
      <c r="H10" s="16" t="inlineStr">
        <is>
          <t>AI architecture critic, automated design-doc review, owns the eval+observability spine.</t>
        </is>
      </c>
      <c r="I10" s="5">
        <f>D10*in_avg_fully_loaded_cost</f>
        <v>72000</v>
      </c>
      <c r="J10" s="5">
        <f>E10*in_avg_fully_loaded_cost</f>
        <v>216000</v>
      </c>
    </row>
    <row r="11">
      <c r="A11" t="inlineStr">
        <is>
          <t>Engineering</t>
        </is>
      </c>
      <c r="B11" t="inlineStr">
        <is>
          <t>Forward-Deployed AI Engineer</t>
        </is>
      </c>
      <c r="C11" t="inlineStr">
        <is>
          <t>S</t>
        </is>
      </c>
      <c r="D11">
        <f>ROUND(2.0/13.2*in_target_headcount_y1,1)</f>
        <v>1.2</v>
      </c>
      <c r="E11">
        <f>ROUND(4.0/30.0*in_target_headcount_y3,1)</f>
        <v>4.7</v>
      </c>
      <c r="F11" s="18">
        <f>ROUND(0.55*0.7+in_ai_automation_target*0.3,2)</f>
        <v>0.58</v>
      </c>
      <c r="G11" t="inlineStr">
        <is>
          <t>Systems Architect</t>
        </is>
      </c>
      <c r="H11" s="16" t="inlineStr">
        <is>
          <t>Claude/Copilot pair-programming, AI test-gen, AI code review on PRs, deploys with customers.</t>
        </is>
      </c>
      <c r="I11" s="5">
        <f>D11*in_avg_fully_loaded_cost</f>
        <v>144000</v>
      </c>
      <c r="J11" s="5">
        <f>E11*in_avg_fully_loaded_cost</f>
        <v>564000</v>
      </c>
    </row>
    <row r="12">
      <c r="A12" t="inlineStr">
        <is>
          <t>Engineering</t>
        </is>
      </c>
      <c r="B12" t="inlineStr">
        <is>
          <t>Applied AI Engineer</t>
        </is>
      </c>
      <c r="C12" t="inlineStr">
        <is>
          <t>S</t>
        </is>
      </c>
      <c r="D12">
        <f>ROUND(1.0/13.2*in_target_headcount_y1,1)</f>
        <v>0.6</v>
      </c>
      <c r="E12">
        <f>ROUND(2.0/30.0*in_target_headcount_y3,1)</f>
        <v>2.3</v>
      </c>
      <c r="F12" s="18">
        <f>ROUND(0.4*0.7+in_ai_automation_target*0.3,2)</f>
        <v>0.48</v>
      </c>
      <c r="G12" t="inlineStr">
        <is>
          <t>Systems Architect</t>
        </is>
      </c>
      <c r="H12" s="16" t="inlineStr">
        <is>
          <t>Owns the model layer; eval harness, dataset curation, prompt + retrieval tuning.</t>
        </is>
      </c>
      <c r="I12" s="5">
        <f>D12*in_avg_fully_loaded_cost</f>
        <v>72000</v>
      </c>
      <c r="J12" s="5">
        <f>E12*in_avg_fully_loaded_cost</f>
        <v>276000</v>
      </c>
    </row>
    <row r="13">
      <c r="A13" t="inlineStr">
        <is>
          <t>Engineering</t>
        </is>
      </c>
      <c r="B13" t="inlineStr">
        <is>
          <t>Platform / AI-Ops Engineer</t>
        </is>
      </c>
      <c r="C13" t="inlineStr">
        <is>
          <t>S</t>
        </is>
      </c>
      <c r="D13">
        <f>ROUND(0.5/13.2*in_target_headcount_y1,1)</f>
        <v>0.3</v>
      </c>
      <c r="E13">
        <f>ROUND(1.5/30.0*in_target_headcount_y3,1)</f>
        <v>1.8</v>
      </c>
      <c r="F13" s="18">
        <f>ROUND(0.6*0.7+in_ai_automation_target*0.3,2)</f>
        <v>0.62</v>
      </c>
      <c r="G13" t="inlineStr">
        <is>
          <t>Systems Architect</t>
        </is>
      </c>
      <c r="H13" s="16" t="inlineStr">
        <is>
          <t>IaC generation, runbook automation, AI-driven incident triage, agent infra.</t>
        </is>
      </c>
      <c r="I13" s="5">
        <f>D13*in_avg_fully_loaded_cost</f>
        <v>36000</v>
      </c>
      <c r="J13" s="5">
        <f>E13*in_avg_fully_loaded_cost</f>
        <v>216000</v>
      </c>
    </row>
    <row r="14">
      <c r="A14" t="inlineStr">
        <is>
          <t>Engineering</t>
        </is>
      </c>
      <c r="B14" t="inlineStr">
        <is>
          <t>Eval &amp; Quality Engineer</t>
        </is>
      </c>
      <c r="C14" t="inlineStr">
        <is>
          <t>S</t>
        </is>
      </c>
      <c r="D14">
        <f>ROUND(0.0/13.2*in_target_headcount_y1,1)</f>
        <v>0</v>
      </c>
      <c r="E14">
        <f>ROUND(1.0/30.0*in_target_headcount_y3,1)</f>
        <v>1.2</v>
      </c>
      <c r="F14" s="18">
        <f>ROUND(0.7*0.7+in_ai_automation_target*0.3,2)</f>
        <v>0.69</v>
      </c>
      <c r="G14" t="inlineStr">
        <is>
          <t>Systems Architect</t>
        </is>
      </c>
      <c r="H14" s="16" t="inlineStr">
        <is>
          <t>Owns LLM evals + property tests; humans curate edge cases that agents miss.</t>
        </is>
      </c>
      <c r="I14" s="5">
        <f>D14*in_avg_fully_loaded_cost</f>
        <v>0</v>
      </c>
      <c r="J14" s="5">
        <f>E14*in_avg_fully_loaded_cost</f>
        <v>144000</v>
      </c>
    </row>
    <row r="15">
      <c r="A15" t="inlineStr">
        <is>
          <t>Data</t>
        </is>
      </c>
      <c r="B15" t="inlineStr">
        <is>
          <t>Decision Intelligence Lead</t>
        </is>
      </c>
      <c r="C15" t="inlineStr">
        <is>
          <t>L</t>
        </is>
      </c>
      <c r="D15">
        <f>ROUND(0.0/13.2*in_target_headcount_y1,1)</f>
        <v>0</v>
      </c>
      <c r="E15">
        <f>ROUND(1.0/30.0*in_target_headcount_y3,1)</f>
        <v>1.2</v>
      </c>
      <c r="F15" s="18">
        <f>ROUND(0.5*0.7+in_ai_automation_target*0.3,2)</f>
        <v>0.54</v>
      </c>
      <c r="G15" t="inlineStr">
        <is>
          <t>CTO</t>
        </is>
      </c>
      <c r="H15" s="16" t="inlineStr">
        <is>
          <t>Natural-language analytics, AI-built dashboards, anomaly detection, causal experimentation.</t>
        </is>
      </c>
      <c r="I15" s="5">
        <f>D15*in_avg_fully_loaded_cost</f>
        <v>0</v>
      </c>
      <c r="J15" s="5">
        <f>E15*in_avg_fully_loaded_cost</f>
        <v>144000</v>
      </c>
    </row>
    <row r="16">
      <c r="A16" t="inlineStr">
        <is>
          <t>GTM</t>
        </is>
      </c>
      <c r="B16" t="inlineStr">
        <is>
          <t>Head of Revenue (AI-Native)</t>
        </is>
      </c>
      <c r="C16" t="inlineStr">
        <is>
          <t>L</t>
        </is>
      </c>
      <c r="D16">
        <f>ROUND(0.5/13.2*in_target_headcount_y1,1)</f>
        <v>0.3</v>
      </c>
      <c r="E16">
        <f>ROUND(1.0/30.0*in_target_headcount_y3,1)</f>
        <v>1.2</v>
      </c>
      <c r="F16" s="18">
        <f>ROUND(0.3*0.7+in_ai_automation_target*0.3,2)</f>
        <v>0.41</v>
      </c>
      <c r="G16" t="inlineStr">
        <is>
          <t>CEO</t>
        </is>
      </c>
      <c r="H16" s="16" t="inlineStr">
        <is>
          <t>AI account research, call-summary intelligence, pipeline forecasting.</t>
        </is>
      </c>
      <c r="I16" s="5">
        <f>D16*in_avg_fully_loaded_cost</f>
        <v>36000</v>
      </c>
      <c r="J16" s="5">
        <f>E16*in_avg_fully_loaded_cost</f>
        <v>144000</v>
      </c>
    </row>
    <row r="17">
      <c r="A17" t="inlineStr">
        <is>
          <t>GTM</t>
        </is>
      </c>
      <c r="B17" t="inlineStr">
        <is>
          <t>Forward-Deployed Account Lead</t>
        </is>
      </c>
      <c r="C17" t="inlineStr">
        <is>
          <t>S</t>
        </is>
      </c>
      <c r="D17">
        <f>ROUND(1.0/13.2*in_target_headcount_y1,1)</f>
        <v>0.6</v>
      </c>
      <c r="E17">
        <f>ROUND(3.0/30.0*in_target_headcount_y3,1)</f>
        <v>3.5</v>
      </c>
      <c r="F17" s="18">
        <f>ROUND(0.4*0.7+in_ai_automation_target*0.3,2)</f>
        <v>0.48</v>
      </c>
      <c r="G17" t="inlineStr">
        <is>
          <t>Head of Revenue</t>
        </is>
      </c>
      <c r="H17" s="16" t="inlineStr">
        <is>
          <t>AI prospecting, personalized outbound at scale, configures the customer's agent stack on-site.</t>
        </is>
      </c>
      <c r="I17" s="5">
        <f>D17*in_avg_fully_loaded_cost</f>
        <v>72000</v>
      </c>
      <c r="J17" s="5">
        <f>E17*in_avg_fully_loaded_cost</f>
        <v>420000</v>
      </c>
    </row>
    <row r="18">
      <c r="A18" t="inlineStr">
        <is>
          <t>GTM</t>
        </is>
      </c>
      <c r="B18" t="inlineStr">
        <is>
          <t>Growth Engineer</t>
        </is>
      </c>
      <c r="C18" t="inlineStr">
        <is>
          <t>S</t>
        </is>
      </c>
      <c r="D18">
        <f>ROUND(1.0/13.2*in_target_headcount_y1,1)</f>
        <v>0.6</v>
      </c>
      <c r="E18">
        <f>ROUND(2.0/30.0*in_target_headcount_y3,1)</f>
        <v>2.3</v>
      </c>
      <c r="F18" s="18">
        <f>ROUND(0.6*0.7+in_ai_automation_target*0.3,2)</f>
        <v>0.62</v>
      </c>
      <c r="G18" t="inlineStr">
        <is>
          <t>Head of Revenue</t>
        </is>
      </c>
      <c r="H18" s="16" t="inlineStr">
        <is>
          <t>AI content engine, SEO clusters, paid creative variants, lifecycle email automation.</t>
        </is>
      </c>
      <c r="I18" s="5">
        <f>D18*in_avg_fully_loaded_cost</f>
        <v>72000</v>
      </c>
      <c r="J18" s="5">
        <f>E18*in_avg_fully_loaded_cost</f>
        <v>276000</v>
      </c>
    </row>
    <row r="19">
      <c r="A19" t="inlineStr">
        <is>
          <t>GTM</t>
        </is>
      </c>
      <c r="B19" t="inlineStr">
        <is>
          <t>Customer Outcomes Engineer</t>
        </is>
      </c>
      <c r="C19" t="inlineStr">
        <is>
          <t>S</t>
        </is>
      </c>
      <c r="D19">
        <f>ROUND(1.0/13.2*in_target_headcount_y1,1)</f>
        <v>0.6</v>
      </c>
      <c r="E19">
        <f>ROUND(2.5/30.0*in_target_headcount_y3,1)</f>
        <v>2.9</v>
      </c>
      <c r="F19" s="18">
        <f>ROUND(0.55*0.7+in_ai_automation_target*0.3,2)</f>
        <v>0.58</v>
      </c>
      <c r="G19" t="inlineStr">
        <is>
          <t>Head of Revenue</t>
        </is>
      </c>
      <c r="H19" s="16" t="inlineStr">
        <is>
          <t>AI-drafted QBRs, churn prediction, T1 deflection by AI agents, escalation on intent.</t>
        </is>
      </c>
      <c r="I19" s="5">
        <f>D19*in_avg_fully_loaded_cost</f>
        <v>72000</v>
      </c>
      <c r="J19" s="5">
        <f>E19*in_avg_fully_loaded_cost</f>
        <v>348000</v>
      </c>
    </row>
    <row r="20">
      <c r="A20" t="inlineStr">
        <is>
          <t>Ops</t>
        </is>
      </c>
      <c r="B20" t="inlineStr">
        <is>
          <t>Finance Engineer</t>
        </is>
      </c>
      <c r="C20" t="inlineStr">
        <is>
          <t>S</t>
        </is>
      </c>
      <c r="D20">
        <f>ROUND(0.0/13.2*in_target_headcount_y1,1)</f>
        <v>0</v>
      </c>
      <c r="E20">
        <f>ROUND(1.0/30.0*in_target_headcount_y3,1)</f>
        <v>1.2</v>
      </c>
      <c r="F20" s="18">
        <f>ROUND(0.65*0.7+in_ai_automation_target*0.3,2)</f>
        <v>0.65</v>
      </c>
      <c r="G20" t="inlineStr">
        <is>
          <t>Head of Autonomous Ops</t>
        </is>
      </c>
      <c r="H20" s="16" t="inlineStr">
        <is>
          <t>AI-built models, automated month-end, expense classification, scenario engines.</t>
        </is>
      </c>
      <c r="I20" s="5">
        <f>D20*in_avg_fully_loaded_cost</f>
        <v>0</v>
      </c>
      <c r="J20" s="5">
        <f>E20*in_avg_fully_loaded_cost</f>
        <v>144000</v>
      </c>
    </row>
    <row r="21">
      <c r="A21" t="inlineStr">
        <is>
          <t>Ops</t>
        </is>
      </c>
      <c r="B21" t="inlineStr">
        <is>
          <t>Talent &amp; Team-Design Lead</t>
        </is>
      </c>
      <c r="C21" t="inlineStr">
        <is>
          <t>S</t>
        </is>
      </c>
      <c r="D21">
        <f>ROUND(0.5/13.2*in_target_headcount_y1,1)</f>
        <v>0.3</v>
      </c>
      <c r="E21">
        <f>ROUND(1.0/30.0*in_target_headcount_y3,1)</f>
        <v>1.2</v>
      </c>
      <c r="F21" s="18">
        <f>ROUND(0.5*0.7+in_ai_automation_target*0.3,2)</f>
        <v>0.54</v>
      </c>
      <c r="G21" t="inlineStr">
        <is>
          <t>Head of Autonomous Ops</t>
        </is>
      </c>
      <c r="H21" s="16" t="inlineStr">
        <is>
          <t>AI-screened pipelines, structured-interview kits, onboarding bots, org-shape continuous design.</t>
        </is>
      </c>
      <c r="I21" s="5">
        <f>D21*in_avg_fully_loaded_cost</f>
        <v>36000</v>
      </c>
      <c r="J21" s="5">
        <f>E21*in_avg_fully_loaded_cost</f>
        <v>144000</v>
      </c>
    </row>
    <row r="22">
      <c r="A22" t="inlineStr">
        <is>
          <t>Ops</t>
        </is>
      </c>
      <c r="B22" t="inlineStr">
        <is>
          <t>Counsel (Fractional, AI-Assisted)</t>
        </is>
      </c>
      <c r="C22" t="inlineStr">
        <is>
          <t>S</t>
        </is>
      </c>
      <c r="D22">
        <f>ROUND(0.2/13.2*in_target_headcount_y1,1)</f>
        <v>0.1</v>
      </c>
      <c r="E22">
        <f>ROUND(0.5/30.0*in_target_headcount_y3,1)</f>
        <v>0.6</v>
      </c>
      <c r="F22" s="18">
        <f>ROUND(0.55*0.7+in_ai_automation_target*0.3,2)</f>
        <v>0.58</v>
      </c>
      <c r="G22" t="inlineStr">
        <is>
          <t>CEO</t>
        </is>
      </c>
      <c r="H22" s="16" t="inlineStr">
        <is>
          <t>Fractional; AI-drafted contracts and policy redlines, human review on novel terms.</t>
        </is>
      </c>
      <c r="I22" s="5">
        <f>D22*in_avg_fully_loaded_cost</f>
        <v>12000</v>
      </c>
      <c r="J22" s="5">
        <f>E22*in_avg_fully_loaded_cost</f>
        <v>72000</v>
      </c>
    </row>
    <row r="23">
      <c r="C23" s="17" t="inlineStr">
        <is>
          <t>TOTAL</t>
        </is>
      </c>
      <c r="D23" s="4">
        <f>SUM(D4:D22)</f>
        <v>7.9</v>
      </c>
      <c r="E23" s="4">
        <f>SUM(E4:E22)</f>
        <v>35.3</v>
      </c>
      <c r="I23" s="5">
        <f>SUM(I4:I22)</f>
        <v>948000</v>
      </c>
      <c r="J23" s="5">
        <f>SUM(J4:J22)</f>
        <v>4236000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DCF Valuation</t>
        </is>
      </c>
    </row>
    <row r="3">
      <c r="A3" s="14" t="inlineStr">
        <is>
          <t>Item</t>
        </is>
      </c>
      <c r="B3" s="14" t="inlineStr">
        <is>
          <t>Y1</t>
        </is>
      </c>
      <c r="C3" s="14" t="inlineStr">
        <is>
          <t>Y2</t>
        </is>
      </c>
      <c r="D3" s="14" t="inlineStr">
        <is>
          <t>Y3</t>
        </is>
      </c>
      <c r="E3" s="14" t="inlineStr">
        <is>
          <t>Y4</t>
        </is>
      </c>
      <c r="F3" s="14" t="inlineStr">
        <is>
          <t>Y5</t>
        </is>
      </c>
    </row>
    <row r="4">
      <c r="A4" t="inlineStr">
        <is>
          <t>Revenue</t>
        </is>
      </c>
      <c r="B4" s="5">
        <f>in_rev_y1</f>
        <v>240000</v>
      </c>
      <c r="C4" s="5">
        <f>B4*(1+in_rev_growth_y2)</f>
        <v>960000</v>
      </c>
      <c r="D4" s="5">
        <f>C4*(1+in_rev_growth_y3)</f>
        <v>2880000</v>
      </c>
      <c r="E4" s="5">
        <f>D4*(1+in_rev_growth_y4)</f>
        <v>6336000</v>
      </c>
      <c r="F4" s="5">
        <f>E4*(1+in_rev_growth_y5)</f>
        <v>10771200</v>
      </c>
    </row>
    <row r="5">
      <c r="A5" t="inlineStr">
        <is>
          <t>Gross profit</t>
        </is>
      </c>
      <c r="B5" s="5">
        <f>B4*in_gross_margin</f>
        <v>187200</v>
      </c>
      <c r="C5" s="5">
        <f>C4*in_gross_margin</f>
        <v>748800</v>
      </c>
      <c r="D5" s="5">
        <f>D4*in_gross_margin</f>
        <v>2246400</v>
      </c>
      <c r="E5" s="5">
        <f>E4*in_gross_margin</f>
        <v>4942080</v>
      </c>
      <c r="F5" s="5">
        <f>F4*in_gross_margin</f>
        <v>8401536</v>
      </c>
    </row>
    <row r="6">
      <c r="A6" t="inlineStr">
        <is>
          <t>Opex</t>
        </is>
      </c>
      <c r="B6" s="5">
        <f>B4*in_opex_pct_rev</f>
        <v>132000</v>
      </c>
      <c r="C6" s="5">
        <f>C4*in_opex_pct_rev</f>
        <v>528000</v>
      </c>
      <c r="D6" s="5">
        <f>D4*in_opex_pct_rev</f>
        <v>1584000</v>
      </c>
      <c r="E6" s="5">
        <f>E4*in_opex_pct_rev</f>
        <v>3484800</v>
      </c>
      <c r="F6" s="5">
        <f>F4*in_opex_pct_rev</f>
        <v>5924160</v>
      </c>
    </row>
    <row r="7">
      <c r="A7" t="inlineStr">
        <is>
          <t>EBIT</t>
        </is>
      </c>
      <c r="B7" s="5">
        <f>B5-B6</f>
        <v>55200</v>
      </c>
      <c r="C7" s="5">
        <f>C5-C6</f>
        <v>220800</v>
      </c>
      <c r="D7" s="5">
        <f>D5-D6</f>
        <v>662400</v>
      </c>
      <c r="E7" s="5">
        <f>E5-E6</f>
        <v>1457280</v>
      </c>
      <c r="F7" s="5">
        <f>F5-F6</f>
        <v>2477376</v>
      </c>
    </row>
    <row r="8">
      <c r="A8" t="inlineStr">
        <is>
          <t>NOPAT</t>
        </is>
      </c>
      <c r="B8" s="5">
        <f>B7*(1-in_tax_rate)</f>
        <v>41400</v>
      </c>
      <c r="C8" s="5">
        <f>C7*(1-in_tax_rate)</f>
        <v>165600</v>
      </c>
      <c r="D8" s="5">
        <f>D7*(1-in_tax_rate)</f>
        <v>496800</v>
      </c>
      <c r="E8" s="5">
        <f>E7*(1-in_tax_rate)</f>
        <v>1092960</v>
      </c>
      <c r="F8" s="5">
        <f>F7*(1-in_tax_rate)</f>
        <v>1858032</v>
      </c>
    </row>
    <row r="9">
      <c r="A9" t="inlineStr">
        <is>
          <t>CapEx</t>
        </is>
      </c>
      <c r="B9" s="5">
        <f>B4*in_capex_pct_rev</f>
        <v>4800</v>
      </c>
      <c r="C9" s="5">
        <f>C4*in_capex_pct_rev</f>
        <v>19200</v>
      </c>
      <c r="D9" s="5">
        <f>D4*in_capex_pct_rev</f>
        <v>57600</v>
      </c>
      <c r="E9" s="5">
        <f>E4*in_capex_pct_rev</f>
        <v>126720</v>
      </c>
      <c r="F9" s="5">
        <f>F4*in_capex_pct_rev</f>
        <v>215424</v>
      </c>
    </row>
    <row r="10">
      <c r="A10" t="inlineStr">
        <is>
          <t>NWC</t>
        </is>
      </c>
      <c r="B10" s="5">
        <f>B4*in_nwc_pct_rev</f>
        <v>9600</v>
      </c>
      <c r="C10" s="5">
        <f>C4*in_nwc_pct_rev</f>
        <v>38400</v>
      </c>
      <c r="D10" s="5">
        <f>D4*in_nwc_pct_rev</f>
        <v>115200</v>
      </c>
      <c r="E10" s="5">
        <f>E4*in_nwc_pct_rev</f>
        <v>253440</v>
      </c>
      <c r="F10" s="5">
        <f>F4*in_nwc_pct_rev</f>
        <v>430848</v>
      </c>
    </row>
    <row r="11">
      <c r="A11" t="inlineStr">
        <is>
          <t>ΔNWC</t>
        </is>
      </c>
      <c r="B11" s="5">
        <f>B10</f>
        <v>9600</v>
      </c>
      <c r="C11" s="5">
        <f>C10-B10</f>
        <v>28800</v>
      </c>
      <c r="D11" s="5">
        <f>D10-C10</f>
        <v>76800</v>
      </c>
      <c r="E11" s="5">
        <f>E10-D10</f>
        <v>138240</v>
      </c>
      <c r="F11" s="5">
        <f>F10-E10</f>
        <v>177408</v>
      </c>
    </row>
    <row r="12">
      <c r="A12" t="inlineStr">
        <is>
          <t>FCF</t>
        </is>
      </c>
      <c r="B12" s="5">
        <f>B8-B9-B11</f>
        <v>27000</v>
      </c>
      <c r="C12" s="5">
        <f>C8-C9-C11</f>
        <v>117600</v>
      </c>
      <c r="D12" s="5">
        <f>D8-D9-D11</f>
        <v>362400</v>
      </c>
      <c r="E12" s="5">
        <f>E8-E9-E11</f>
        <v>828000</v>
      </c>
      <c r="F12" s="5">
        <f>F8-F9-F11</f>
        <v>1465200</v>
      </c>
    </row>
    <row r="13">
      <c r="A13" t="inlineStr">
        <is>
          <t>Discount factor</t>
        </is>
      </c>
      <c r="B13" s="19">
        <f>1/(1+in_discount_rate)^1</f>
        <v>0.7692307692</v>
      </c>
      <c r="C13" s="19">
        <f>1/(1+in_discount_rate)^2</f>
        <v>0.5917159763</v>
      </c>
      <c r="D13" s="19">
        <f>1/(1+in_discount_rate)^3</f>
        <v>0.4551661356</v>
      </c>
      <c r="E13" s="19">
        <f>1/(1+in_discount_rate)^4</f>
        <v>0.3501277966</v>
      </c>
      <c r="F13" s="19">
        <f>1/(1+in_discount_rate)^5</f>
        <v>0.2693290743</v>
      </c>
    </row>
    <row r="14">
      <c r="A14" t="inlineStr">
        <is>
          <t>PV of FCF</t>
        </is>
      </c>
      <c r="B14" s="5">
        <f>B12*B13</f>
        <v>20769.23077</v>
      </c>
      <c r="C14" s="5">
        <f>C12*C13</f>
        <v>69585.79882</v>
      </c>
      <c r="D14" s="5">
        <f>D12*D13</f>
        <v>164952.2076</v>
      </c>
      <c r="E14" s="5">
        <f>E12*E13</f>
        <v>289905.8156</v>
      </c>
      <c r="F14" s="5">
        <f>F12*F13</f>
        <v>394620.9597</v>
      </c>
    </row>
    <row r="16">
      <c r="A16" s="17" t="inlineStr">
        <is>
          <t>Terminal value</t>
        </is>
      </c>
      <c r="B16" s="5">
        <f>F12*(1+in_terminal_growth)/(in_discount_rate-in_terminal_growth)</f>
        <v>5589466.667</v>
      </c>
    </row>
    <row r="17">
      <c r="A17" t="inlineStr">
        <is>
          <t>PV of TV</t>
        </is>
      </c>
      <c r="B17" s="5">
        <f>B16/(1+in_discount_rate)^5</f>
        <v>1505405.883</v>
      </c>
    </row>
    <row r="18">
      <c r="A18" s="17" t="inlineStr">
        <is>
          <t>Enterprise Value</t>
        </is>
      </c>
      <c r="B18" s="5">
        <f>SUM(B14:F14)+B17</f>
        <v>2445239.896</v>
      </c>
    </row>
    <row r="19">
      <c r="A19" s="17" t="inlineStr">
        <is>
          <t>Equity Value</t>
        </is>
      </c>
      <c r="B19" s="5">
        <f>B18-in_net_debt_usd</f>
        <v>2445239.896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6" t="inlineStr">
        <is>
          <t>Comparables Valuation</t>
        </is>
      </c>
    </row>
    <row r="3">
      <c r="A3" t="inlineStr">
        <is>
          <t>By revenue multiple</t>
        </is>
      </c>
      <c r="B3" s="5">
        <f>in_comp_rev_multiple*in_comp_ntm_revenue</f>
        <v>9600000</v>
      </c>
    </row>
    <row r="4">
      <c r="A4" t="inlineStr">
        <is>
          <t>By EBITDA multiple</t>
        </is>
      </c>
      <c r="B4" s="5">
        <f>in_comp_ebitda_multiple*in_comp_ntm_ebitda</f>
        <v>2640000</v>
      </c>
    </row>
    <row r="5">
      <c r="A5" s="17" t="inlineStr">
        <is>
          <t>Midpoint</t>
        </is>
      </c>
      <c r="B5" s="5">
        <f>AVERAGE(B3:B4)</f>
        <v>6120000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6" t="inlineStr">
        <is>
          <t>Early-Stage Valuations</t>
        </is>
      </c>
    </row>
    <row r="3">
      <c r="A3" s="17" t="inlineStr">
        <is>
          <t>Berkus total</t>
        </is>
      </c>
      <c r="B3" s="5">
        <f>in_berkus_idea+in_berkus_prototype+in_berkus_team+in_berkus_relationships+in_berkus_sales</f>
        <v>1550000</v>
      </c>
    </row>
    <row r="4">
      <c r="A4" s="17" t="inlineStr">
        <is>
          <t>Scorecard (Payne) pre-money</t>
        </is>
      </c>
      <c r="B4" s="5">
        <f>in_scorecard_avg_premoney*Scorecard!C16/3</f>
        <v>6067439.163</v>
      </c>
    </row>
    <row r="5">
      <c r="A5" s="17" t="inlineStr">
        <is>
          <t>VC method pre-money</t>
        </is>
      </c>
      <c r="B5" s="5">
        <f>in_vc_exit_value/in_vc_target_roi</f>
        <v>16666666.67</v>
      </c>
    </row>
    <row r="6">
      <c r="A6" t="inlineStr">
        <is>
          <t>First Chicago — success scenario</t>
        </is>
      </c>
      <c r="B6" s="5">
        <f>MAX(Valuation_DCF!B19,Valuation_Comps!B5)*1.5</f>
        <v>9180000</v>
      </c>
    </row>
    <row r="7">
      <c r="A7" t="inlineStr">
        <is>
          <t>First Chicago — base scenario</t>
        </is>
      </c>
      <c r="B7" s="5">
        <f>AVERAGE(Valuation_DCF!B19,Valuation_Comps!B5)</f>
        <v>4282619.948</v>
      </c>
    </row>
    <row r="8">
      <c r="A8" t="inlineStr">
        <is>
          <t>First Chicago — downside scenario</t>
        </is>
      </c>
      <c r="B8" s="5">
        <f>B3</f>
        <v>1550000</v>
      </c>
    </row>
    <row r="9">
      <c r="A9" s="17" t="inlineStr">
        <is>
          <t>First Chicago — weighted</t>
        </is>
      </c>
      <c r="B9" s="5">
        <f>0.25*B6+0.5*B7+0.25*B8</f>
        <v>4823809.974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6" t="inlineStr">
        <is>
          <t>Patent / IP Valuation</t>
        </is>
      </c>
    </row>
    <row r="3">
      <c r="A3" s="17" t="inlineStr">
        <is>
          <t>Cost approach (R&amp;D + filing)</t>
        </is>
      </c>
      <c r="B3" s="5">
        <f>in_patent_dev_cost_usd</f>
        <v>0</v>
      </c>
    </row>
    <row r="4">
      <c r="A4" s="17" t="inlineStr">
        <is>
          <t>Market approach (comparable sale)</t>
        </is>
      </c>
      <c r="B4" s="5">
        <f>in_patent_comparable_sale_usd</f>
        <v>0</v>
      </c>
    </row>
    <row r="5">
      <c r="A5" s="17" t="inlineStr">
        <is>
          <t>Relief-from-royalty (PV)</t>
        </is>
      </c>
      <c r="B5" s="5">
        <f>in_patent_royalty_rate*in_patent_revenue_attributable*(1-(1+in_discount_rate)^-in_patent_useful_life_years)/in_discount_rate</f>
        <v>0</v>
      </c>
    </row>
    <row r="6">
      <c r="A6" s="17" t="inlineStr">
        <is>
          <t>Income approach (20% margin, PV)</t>
        </is>
      </c>
      <c r="B6" s="5">
        <f>0.20*in_patent_revenue_attributable*(1-(1+in_discount_rate)^-in_patent_useful_life_years)/in_discount_rate</f>
        <v>0</v>
      </c>
    </row>
    <row r="7">
      <c r="A7" s="17" t="inlineStr">
        <is>
          <t>Midpoint of approaches</t>
        </is>
      </c>
      <c r="B7" s="5">
        <f>AVERAGE(B3:B6)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Founder Equity Split (Slicing-Pie style)</t>
        </is>
      </c>
    </row>
    <row r="2">
      <c r="A2" s="7" t="inlineStr">
        <is>
          <t>Units = time%·salary_forgone + capital + ip_score·100k + role_criticality·50k. Edit Inputs sheet — this recomputes.</t>
        </is>
      </c>
    </row>
    <row r="4">
      <c r="A4" s="14" t="inlineStr">
        <is>
          <t>Founder</t>
        </is>
      </c>
      <c r="B4" s="14" t="inlineStr">
        <is>
          <t>Time %</t>
        </is>
      </c>
      <c r="C4" s="14" t="inlineStr">
        <is>
          <t>Salary forgone</t>
        </is>
      </c>
      <c r="D4" s="14" t="inlineStr">
        <is>
          <t>Capital</t>
        </is>
      </c>
      <c r="E4" s="14" t="inlineStr">
        <is>
          <t>IP score</t>
        </is>
      </c>
      <c r="F4" s="14" t="inlineStr">
        <is>
          <t>Role criticality</t>
        </is>
      </c>
      <c r="G4" s="14" t="inlineStr">
        <is>
          <t>Units</t>
        </is>
      </c>
      <c r="H4" s="14" t="inlineStr">
        <is>
          <t>Final equity %</t>
        </is>
      </c>
    </row>
    <row r="5">
      <c r="A5" t="str">
        <f>Inputs!$B$80</f>
        <v>Founder A</v>
      </c>
      <c r="B5" s="18">
        <f>in_founder1_time_pct</f>
        <v>1</v>
      </c>
      <c r="C5" s="5">
        <f>in_founder1_salary_forgone_usd</f>
        <v>100000</v>
      </c>
      <c r="D5" s="5">
        <f>in_founder1_capital_usd</f>
        <v>0</v>
      </c>
      <c r="E5">
        <f>in_founder1_ip_score</f>
        <v>3</v>
      </c>
      <c r="F5">
        <f>in_founder1_role_criticality</f>
        <v>4</v>
      </c>
      <c r="G5" s="5">
        <f>B5*C5+D5+E5*100000+F5*50000</f>
        <v>600000</v>
      </c>
      <c r="H5" s="20">
        <f>IF($G$9=0,0,G5/$G$9*(1-in_esop_pool_pct))</f>
        <v>0.425</v>
      </c>
    </row>
    <row r="6">
      <c r="A6" t="str">
        <f>Inputs!$B$86</f>
        <v>Founder B</v>
      </c>
      <c r="B6" s="18">
        <f>in_founder2_time_pct</f>
        <v>1</v>
      </c>
      <c r="C6" s="5">
        <f>in_founder2_salary_forgone_usd</f>
        <v>100000</v>
      </c>
      <c r="D6" s="5">
        <f>in_founder2_capital_usd</f>
        <v>0</v>
      </c>
      <c r="E6">
        <f>in_founder2_ip_score</f>
        <v>3</v>
      </c>
      <c r="F6">
        <f>in_founder2_role_criticality</f>
        <v>4</v>
      </c>
      <c r="G6" s="5">
        <f>B6*C6+D6+E6*100000+F6*50000</f>
        <v>600000</v>
      </c>
      <c r="H6" s="20">
        <f>IF($G$9=0,0,G6/$G$9*(1-in_esop_pool_pct))</f>
        <v>0.425</v>
      </c>
    </row>
    <row r="7">
      <c r="A7" t="str">
        <f>Inputs!$B$92</f>
        <v>Founder C</v>
      </c>
      <c r="B7" s="18">
        <f>in_founder3_time_pct</f>
        <v>0</v>
      </c>
      <c r="C7" s="5">
        <f>in_founder3_salary_forgone_usd</f>
        <v>0</v>
      </c>
      <c r="D7" s="5">
        <f>in_founder3_capital_usd</f>
        <v>0</v>
      </c>
      <c r="E7">
        <f>in_founder3_ip_score</f>
        <v>0</v>
      </c>
      <c r="F7">
        <f>in_founder3_role_criticality</f>
        <v>0</v>
      </c>
      <c r="G7" s="5">
        <f>B7*C7+D7+E7*100000+F7*50000</f>
        <v>0</v>
      </c>
      <c r="H7" s="20">
        <f>IF($G$9=0,0,G7/$G$9*(1-in_esop_pool_pct))</f>
        <v>0</v>
      </c>
    </row>
    <row r="8">
      <c r="A8" t="str">
        <f>Inputs!$B$98</f>
        <v>Founder D</v>
      </c>
      <c r="B8" s="18">
        <f>in_founder4_time_pct</f>
        <v>0</v>
      </c>
      <c r="C8" s="5">
        <f>in_founder4_salary_forgone_usd</f>
        <v>0</v>
      </c>
      <c r="D8" s="5">
        <f>in_founder4_capital_usd</f>
        <v>0</v>
      </c>
      <c r="E8">
        <f>in_founder4_ip_score</f>
        <v>0</v>
      </c>
      <c r="F8">
        <f>in_founder4_role_criticality</f>
        <v>0</v>
      </c>
      <c r="G8" s="5">
        <f>B8*C8+D8+E8*100000+F8*50000</f>
        <v>0</v>
      </c>
      <c r="H8" s="20">
        <f>IF($G$9=0,0,G8/$G$9*(1-in_esop_pool_pct))</f>
        <v>0</v>
      </c>
    </row>
    <row r="9">
      <c r="A9" s="17" t="inlineStr">
        <is>
          <t>TOTAL</t>
        </is>
      </c>
      <c r="G9" s="5">
        <f>SUM(G5:G8)</f>
        <v>1200000</v>
      </c>
    </row>
    <row r="10">
      <c r="A10" s="17" t="inlineStr">
        <is>
          <t>ESOP pool</t>
        </is>
      </c>
      <c r="H10" s="20">
        <f>in_esop_pool_pct</f>
        <v>0.15</v>
      </c>
    </row>
    <row r="11">
      <c r="A11" s="2" t="inlineStr">
        <is>
          <t>Check (=100%)</t>
        </is>
      </c>
      <c r="H11" s="20">
        <f>SUM(H5:H8)+H10</f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0" customWidth="1" min="3" max="3"/>
  </cols>
  <sheetData>
    <row r="1">
      <c r="A1" s="6" t="inlineStr">
        <is>
          <t>Portfolio Screening (this idea)</t>
        </is>
      </c>
    </row>
    <row r="2">
      <c r="A2" s="7" t="inlineStr">
        <is>
          <t>Edit yellow cells. Compare the four methods — divergence flags scoring sensitivity.</t>
        </is>
      </c>
    </row>
    <row r="4">
      <c r="A4" t="inlineStr">
        <is>
          <t>Monetary impact ($/yr if successful)</t>
        </is>
      </c>
      <c r="B4" s="11" t="n">
        <v>60000000</v>
      </c>
    </row>
    <row r="5">
      <c r="A5" t="inlineStr">
        <is>
          <t>Adoption (0-1)</t>
        </is>
      </c>
      <c r="B5" s="21" t="n">
        <v>0.5</v>
      </c>
    </row>
    <row r="6">
      <c r="A6" t="inlineStr">
        <is>
          <t>Business critical (0-1)</t>
        </is>
      </c>
      <c r="B6" s="21" t="n">
        <v>0.8</v>
      </c>
    </row>
    <row r="7">
      <c r="A7" t="inlineStr">
        <is>
          <t>Ownership (0 ext, 1 internal)</t>
        </is>
      </c>
      <c r="B7" s="22" t="n">
        <v>1</v>
      </c>
    </row>
    <row r="8">
      <c r="A8" t="inlineStr">
        <is>
          <t>Risk PoS (0-1)</t>
        </is>
      </c>
      <c r="B8" s="21" t="n">
        <v>0.8</v>
      </c>
    </row>
    <row r="9">
      <c r="A9" t="inlineStr">
        <is>
          <t>Time of replacement (yrs)</t>
        </is>
      </c>
      <c r="B9" s="23" t="n">
        <v>3</v>
      </c>
    </row>
    <row r="10">
      <c r="A10" t="inlineStr">
        <is>
          <t>Time to commercialize (yrs)</t>
        </is>
      </c>
      <c r="B10" s="23" t="n">
        <v>2</v>
      </c>
    </row>
    <row r="11">
      <c r="A11" t="inlineStr">
        <is>
          <t>Cost to develop ($)</t>
        </is>
      </c>
      <c r="B11" s="11" t="n">
        <v>960000</v>
      </c>
    </row>
    <row r="14">
      <c r="A14" s="17" t="inlineStr">
        <is>
          <t>Modified RICE</t>
        </is>
      </c>
      <c r="B14" s="24">
        <f>(B4*B5*B6*B7*B8*B9)/(B10*B11)</f>
        <v>30</v>
      </c>
      <c r="C14" s="7" t="inlineStr">
        <is>
          <t>Reach × Impact × Confidence / Effort (Samyama variant)</t>
        </is>
      </c>
    </row>
    <row r="15">
      <c r="A15" s="17" t="inlineStr">
        <is>
          <t>WSJF</t>
        </is>
      </c>
      <c r="B15" s="4">
        <f>(MIN(100,B4*B5*B8/100000)+MAX(0,MIN(1,1/MAX(B9,0.5)))*100+B6*100)/B10</f>
        <v>106.6666667</v>
      </c>
      <c r="C15" s="7" t="inlineStr">
        <is>
          <t>(BV + TimeCriticality + RiskReduction) / Duration  [SAFe]</t>
        </is>
      </c>
    </row>
    <row r="16">
      <c r="A16" s="17" t="inlineStr">
        <is>
          <t>CD3 ($/yr per yr)</t>
        </is>
      </c>
      <c r="B16" s="5">
        <f>(B4*B5*B8)/B10</f>
        <v>12000000</v>
      </c>
      <c r="C16" s="7" t="inlineStr">
        <is>
          <t>Cost of Delay / Duration  [Reinertsen]</t>
        </is>
      </c>
    </row>
    <row r="17">
      <c r="A17" s="17" t="inlineStr">
        <is>
          <t>EMV (USD)</t>
        </is>
      </c>
      <c r="B17" s="5">
        <f>B8*(B4*B5)*B9-B11</f>
        <v>71040000</v>
      </c>
      <c r="C17" s="7" t="inlineStr">
        <is>
          <t>PoS × (annual value × life) − cost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>
      <c r="A1" s="6" t="inlineStr">
        <is>
          <t>Definitions &amp; Method Notes</t>
        </is>
      </c>
    </row>
    <row r="3">
      <c r="A3" s="14" t="inlineStr">
        <is>
          <t>Term</t>
        </is>
      </c>
      <c r="B3" s="14" t="inlineStr">
        <is>
          <t>Definition</t>
        </is>
      </c>
      <c r="C3" s="14" t="inlineStr">
        <is>
          <t>How it's used in this tool</t>
        </is>
      </c>
    </row>
    <row r="4">
      <c r="A4" s="17" t="inlineStr">
        <is>
          <t>Reach (RICE)</t>
        </is>
      </c>
      <c r="B4" s="16" t="inlineStr">
        <is>
          <t>How many customers a project will impact.</t>
        </is>
      </c>
      <c r="C4" s="16" t="inlineStr">
        <is>
          <t>Captured as Monetary impact × Adoption fraction.</t>
        </is>
      </c>
    </row>
    <row r="5">
      <c r="A5" s="17" t="inlineStr">
        <is>
          <t>Impact (RICE)</t>
        </is>
      </c>
      <c r="B5" s="16" t="inlineStr">
        <is>
          <t>How much a project shifts a strategic goal.</t>
        </is>
      </c>
      <c r="C5" s="16" t="inlineStr">
        <is>
          <t>Captured as Business-critical × Ownership.</t>
        </is>
      </c>
    </row>
    <row r="6">
      <c r="A6" s="17" t="inlineStr">
        <is>
          <t>Confidence (RICE)</t>
        </is>
      </c>
      <c r="B6" s="16" t="inlineStr">
        <is>
          <t>How sure we are in the estimates.</t>
        </is>
      </c>
      <c r="C6" s="16" t="inlineStr">
        <is>
          <t>Captured as Risk PoS × Time of replacement.</t>
        </is>
      </c>
    </row>
    <row r="7">
      <c r="A7" s="17" t="inlineStr">
        <is>
          <t>Effort (RICE)</t>
        </is>
      </c>
      <c r="B7" s="16" t="inlineStr">
        <is>
          <t>Total time and money required.</t>
        </is>
      </c>
      <c r="C7" s="16" t="inlineStr">
        <is>
          <t>Captured as Time to commercialize × Cost to develop.</t>
        </is>
      </c>
    </row>
    <row r="8">
      <c r="A8" s="17" t="inlineStr">
        <is>
          <t>Modified RICE</t>
        </is>
      </c>
      <c r="B8" s="16" t="inlineStr">
        <is>
          <t>Samyama variant: (Reach × Impact × Confidence) / Effort.</t>
        </is>
      </c>
      <c r="C8" s="16" t="inlineStr">
        <is>
          <t>Quick portfolio-level screen — higher is better.</t>
        </is>
      </c>
    </row>
    <row r="9">
      <c r="A9" s="17" t="inlineStr">
        <is>
          <t>WSJF</t>
        </is>
      </c>
      <c r="B9" s="16" t="inlineStr">
        <is>
          <t>Weighted Shortest Job First (SAFe): (Business Value + Time Criticality + Risk Reduction) / Duration.</t>
        </is>
      </c>
      <c r="C9" s="16" t="inlineStr">
        <is>
          <t>Use when you care about delivery sequencing and time-to-market.</t>
        </is>
      </c>
    </row>
    <row r="10">
      <c r="A10" s="17" t="inlineStr">
        <is>
          <t>CD3</t>
        </is>
      </c>
      <c r="B10" s="16" t="inlineStr">
        <is>
          <t>Cost of Delay ÷ Duration (Reinertsen).</t>
        </is>
      </c>
      <c r="C10" s="16" t="inlineStr">
        <is>
          <t>Use when you can estimate $/year lost by delaying the project.</t>
        </is>
      </c>
    </row>
    <row r="11">
      <c r="A11" s="17" t="inlineStr">
        <is>
          <t>EMV</t>
        </is>
      </c>
      <c r="B11" s="16" t="inlineStr">
        <is>
          <t>Expected Monetary Value: PoS × (annual value × life) − cost.</t>
        </is>
      </c>
      <c r="C11" s="16" t="inlineStr">
        <is>
          <t>Use when comparing projects in dollars rather than scores.</t>
        </is>
      </c>
    </row>
    <row r="12">
      <c r="A12" s="17" t="inlineStr">
        <is>
          <t>TAM/SAM/SOM</t>
        </is>
      </c>
      <c r="B12" s="16" t="inlineStr">
        <is>
          <t>Total / Serviceable / Obtainable market.</t>
        </is>
      </c>
      <c r="C12" s="16" t="inlineStr">
        <is>
          <t>Drives the market-size bonus on the composite score.</t>
        </is>
      </c>
    </row>
    <row r="13">
      <c r="A13" s="17" t="inlineStr">
        <is>
          <t>Moat</t>
        </is>
      </c>
      <c r="B13" s="16" t="inlineStr">
        <is>
          <t>Durable defensibility (tech, data, brand, IP).</t>
        </is>
      </c>
      <c r="C13" s="16" t="inlineStr">
        <is>
          <t>Four sub-scores feed the Moat category (14% weight).</t>
        </is>
      </c>
    </row>
    <row r="14">
      <c r="A14" s="17" t="inlineStr">
        <is>
          <t>AI Resilience</t>
        </is>
      </c>
      <c r="B14" s="16" t="inlineStr">
        <is>
          <t>Will commodity LLMs help or eat this wedge in 24 months?</t>
        </is>
      </c>
      <c r="C14" s="16" t="inlineStr">
        <is>
          <t>Heaviest single weight (17%) in the rubric — by design.</t>
        </is>
      </c>
    </row>
    <row r="15">
      <c r="A15" s="17" t="inlineStr">
        <is>
          <t>Unit economics</t>
        </is>
      </c>
      <c r="B15" s="16" t="inlineStr">
        <is>
          <t>Per-customer revenue minus per-customer cost.</t>
        </is>
      </c>
      <c r="C15" s="16" t="inlineStr">
        <is>
          <t>Combined with capital efficiency into a 10% category.</t>
        </is>
      </c>
    </row>
    <row r="16">
      <c r="A16" s="17" t="inlineStr">
        <is>
          <t>Capital efficiency</t>
        </is>
      </c>
      <c r="B16" s="16" t="inlineStr">
        <is>
          <t>Revenue generated per dollar of capital consumed.</t>
        </is>
      </c>
      <c r="C16" s="16" t="inlineStr">
        <is>
          <t>Higher = less dilution / more optionality on financing.</t>
        </is>
      </c>
    </row>
    <row r="17">
      <c r="A17" s="17" t="inlineStr">
        <is>
          <t>DCF</t>
        </is>
      </c>
      <c r="B17" s="16" t="inlineStr">
        <is>
          <t>Discounted Cash Flow: PV of projected FCF + terminal value.</t>
        </is>
      </c>
      <c r="C17" s="16" t="inlineStr">
        <is>
          <t>Best for businesses with credible 5-yr forecasts.</t>
        </is>
      </c>
    </row>
    <row r="18">
      <c r="A18" s="17" t="inlineStr">
        <is>
          <t>Comparables</t>
        </is>
      </c>
      <c r="B18" s="16" t="inlineStr">
        <is>
          <t>Apply sector revenue / EBITDA multiples to NTM numbers.</t>
        </is>
      </c>
      <c r="C18" s="16" t="inlineStr">
        <is>
          <t>Best when peer multiples are observable.</t>
        </is>
      </c>
    </row>
    <row r="19">
      <c r="A19" s="17" t="inlineStr">
        <is>
          <t>Berkus</t>
        </is>
      </c>
      <c r="B19" s="16" t="inlineStr">
        <is>
          <t>Pre-revenue startup valuation, max ~$2.5M across 5 axes.</t>
        </is>
      </c>
      <c r="C19" s="16" t="inlineStr">
        <is>
          <t>Use at idea / prototype stage.</t>
        </is>
      </c>
    </row>
    <row r="20">
      <c r="A20" s="17" t="inlineStr">
        <is>
          <t>Scorecard (Payne)</t>
        </is>
      </c>
      <c r="B20" s="16" t="inlineStr">
        <is>
          <t>Regional avg pre-money × (rubric score / 3).</t>
        </is>
      </c>
      <c r="C20" s="16" t="inlineStr">
        <is>
          <t>Use at seed; anchors to local market norms.</t>
        </is>
      </c>
    </row>
    <row r="21">
      <c r="A21" s="17" t="inlineStr">
        <is>
          <t>VC method</t>
        </is>
      </c>
      <c r="B21" s="16" t="inlineStr">
        <is>
          <t>Exit value ÷ target ROI multiple.</t>
        </is>
      </c>
      <c r="C21" s="16" t="inlineStr">
        <is>
          <t>Use when you have a credible exit comp.</t>
        </is>
      </c>
    </row>
    <row r="22">
      <c r="A22" s="17" t="inlineStr">
        <is>
          <t>First Chicago</t>
        </is>
      </c>
      <c r="B22" s="16" t="inlineStr">
        <is>
          <t>Weighted success/base/downside scenarios.</t>
        </is>
      </c>
      <c r="C22" s="16" t="inlineStr">
        <is>
          <t>Use when outcomes are bimodal.</t>
        </is>
      </c>
    </row>
    <row r="23">
      <c r="A23" s="17" t="inlineStr">
        <is>
          <t>Cost approach (IP)</t>
        </is>
      </c>
      <c r="B23" s="16" t="inlineStr">
        <is>
          <t>Total R&amp;D + filing cost as patent value floor.</t>
        </is>
      </c>
      <c r="C23" s="16" t="inlineStr">
        <is>
          <t>Conservative — ignores commercial upside.</t>
        </is>
      </c>
    </row>
    <row r="24">
      <c r="A24" s="17" t="inlineStr">
        <is>
          <t>Market approach (IP)</t>
        </is>
      </c>
      <c r="B24" s="16" t="inlineStr">
        <is>
          <t>Comparable patent sale price.</t>
        </is>
      </c>
      <c r="C24" s="16" t="inlineStr">
        <is>
          <t>Only as good as the comp.</t>
        </is>
      </c>
    </row>
    <row r="25">
      <c r="A25" s="17" t="inlineStr">
        <is>
          <t>Relief-from-royalty</t>
        </is>
      </c>
      <c r="B25" s="16" t="inlineStr">
        <is>
          <t>PV of royalty payments avoided by owning the patent.</t>
        </is>
      </c>
      <c r="C25" s="16" t="inlineStr">
        <is>
          <t>Royalty rate × attributable revenue, discounted over useful life.</t>
        </is>
      </c>
    </row>
    <row r="26">
      <c r="A26" s="17" t="inlineStr">
        <is>
          <t>Income approach (IP)</t>
        </is>
      </c>
      <c r="B26" s="16" t="inlineStr">
        <is>
          <t>PV of incremental income enabled by the patent.</t>
        </is>
      </c>
      <c r="C26" s="16" t="inlineStr">
        <is>
          <t>Uses 20% margin proxy unless overridden.</t>
        </is>
      </c>
    </row>
    <row r="29">
      <c r="A29" s="8" t="inlineStr">
        <is>
          <t>Rubric ↔ Screening cross-map</t>
        </is>
      </c>
    </row>
    <row r="30">
      <c r="A30" s="25" t="inlineStr">
        <is>
          <t>Rubric category</t>
        </is>
      </c>
      <c r="B30" s="25" t="inlineStr">
        <is>
          <t>RICE/WSJF mapping</t>
        </is>
      </c>
      <c r="C30" s="25" t="inlineStr">
        <is>
          <t>Cross-check</t>
        </is>
      </c>
    </row>
    <row r="31">
      <c r="A31" s="16" t="inlineStr">
        <is>
          <t>Problem</t>
        </is>
      </c>
      <c r="B31" s="16" t="inlineStr">
        <is>
          <t>Reach (severity × frequency × WTP)</t>
        </is>
      </c>
      <c r="C31" s="16" t="inlineStr">
        <is>
          <t>Low problem score + high RICE Reach =&gt; suspect inflated adoption.</t>
        </is>
      </c>
    </row>
    <row r="32">
      <c r="A32" s="16" t="inlineStr">
        <is>
          <t>Market &amp; Timing</t>
        </is>
      </c>
      <c r="B32" s="16" t="inlineStr">
        <is>
          <t>WSJF Time Criticality</t>
        </is>
      </c>
      <c r="C32" s="16" t="inlineStr">
        <is>
          <t>Strong timing =&gt; higher WSJF urgency, shorter Time of Replacement.</t>
        </is>
      </c>
    </row>
    <row r="33">
      <c r="A33" s="16" t="inlineStr">
        <is>
          <t>Moat</t>
        </is>
      </c>
      <c r="B33" s="16" t="inlineStr">
        <is>
          <t>Time of Replacement (years)</t>
        </is>
      </c>
      <c r="C33" s="16" t="inlineStr">
        <is>
          <t>Weak moat (&lt;3 yrs) caps WSJF and CD3 even if value is high.</t>
        </is>
      </c>
    </row>
    <row r="34">
      <c r="A34" s="16" t="inlineStr">
        <is>
          <t>Team</t>
        </is>
      </c>
      <c r="B34" s="16" t="inlineStr">
        <is>
          <t>Confidence / Risk PoS</t>
        </is>
      </c>
      <c r="C34" s="16" t="inlineStr">
        <is>
          <t>Team gaps reduce risk_pos in EMV and Confidence in RICE.</t>
        </is>
      </c>
    </row>
    <row r="35">
      <c r="A35" s="16" t="inlineStr">
        <is>
          <t>Unit Economics</t>
        </is>
      </c>
      <c r="B35" s="16" t="inlineStr">
        <is>
          <t>Cost of Delay numerator</t>
        </is>
      </c>
      <c r="C35" s="16" t="inlineStr">
        <is>
          <t>Drives the $-of-delay term in CD3.</t>
        </is>
      </c>
    </row>
    <row r="36">
      <c r="A36" s="16" t="inlineStr">
        <is>
          <t>AI Resilience</t>
        </is>
      </c>
      <c r="B36" s="16" t="inlineStr">
        <is>
          <t>Time of Replacement (AI-driven)</t>
        </is>
      </c>
      <c r="C36" s="16" t="inlineStr">
        <is>
          <t>If AI eats this in 24 months, set time_of_replacement ≤ 2.</t>
        </is>
      </c>
    </row>
    <row r="37">
      <c r="A37" s="16" t="inlineStr">
        <is>
          <t>Regulatory</t>
        </is>
      </c>
      <c r="B37" s="16" t="inlineStr">
        <is>
          <t>Risk PoS</t>
        </is>
      </c>
      <c r="C37" s="16" t="inlineStr">
        <is>
          <t>Heavy regulation reduces PoS; multiplies through EMV and WSJF.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2026-05-19T02:39:33Z</dcterms:created>
  <dcterms:modified xmlns:dcterms="http://purl.org/dc/terms/" xmlns:xsi="http://www.w3.org/2001/XMLSchema-instance" xsi:type="dcterms:W3CDTF">2026-05-19T02:39:33Z</dcterms:modified>
</cp:coreProperties>
</file>